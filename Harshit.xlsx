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77b5083f03beb6c/Desktop/"/>
    </mc:Choice>
  </mc:AlternateContent>
  <xr:revisionPtr revIDLastSave="0" documentId="10_ncr:8000_{1A5DE473-E8F6-4EA7-8658-AE9795F7E619}" xr6:coauthVersionLast="47" xr6:coauthVersionMax="47" xr10:uidLastSave="{00000000-0000-0000-0000-000000000000}"/>
  <bookViews>
    <workbookView xWindow="-108" yWindow="-108" windowWidth="23256" windowHeight="12456" xr2:uid="{7A08DFCD-A3AD-49EB-AE4F-648D54C7F6E8}"/>
  </bookViews>
  <sheets>
    <sheet name="New Dashboard" sheetId="17" r:id="rId1"/>
    <sheet name="Newspaper Data" sheetId="1" r:id="rId2"/>
    <sheet name="pivot " sheetId="15" r:id="rId3"/>
    <sheet name="pivot space" sheetId="11" r:id="rId4"/>
  </sheets>
  <definedNames>
    <definedName name="_xlnm._FilterDatabase" localSheetId="1" hidden="1">'Newspaper Data'!$A$1:$Z$501</definedName>
    <definedName name="Slicer_Age_Group">#N/A</definedName>
    <definedName name="Slicer_City">#N/A</definedName>
    <definedName name="Slicer_Gender1">#N/A</definedName>
    <definedName name="Slicer_Month_of_Joining">#N/A</definedName>
    <definedName name="Slicer_Payment_Mod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5" l="1"/>
  <c r="C7" i="11"/>
  <c r="D7" i="11"/>
  <c r="B7" i="11"/>
  <c r="A7"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<sst xmlns="http://schemas.openxmlformats.org/spreadsheetml/2006/main" count="3597" uniqueCount="559">
  <si>
    <t>Sr. No.</t>
  </si>
  <si>
    <t>Employe ID</t>
  </si>
  <si>
    <t>Name</t>
  </si>
  <si>
    <t>Gender</t>
  </si>
  <si>
    <t>Date of Joining</t>
  </si>
  <si>
    <t>Age</t>
  </si>
  <si>
    <t>Male</t>
  </si>
  <si>
    <t>Female</t>
  </si>
  <si>
    <t>Month of Joining</t>
  </si>
  <si>
    <t>Jan</t>
  </si>
  <si>
    <t>Feb</t>
  </si>
  <si>
    <t>Mar</t>
  </si>
  <si>
    <t>Apr</t>
  </si>
  <si>
    <t>May</t>
  </si>
  <si>
    <t>Jun</t>
  </si>
  <si>
    <t>Jul</t>
  </si>
  <si>
    <t>Aug</t>
  </si>
  <si>
    <t>Sep</t>
  </si>
  <si>
    <t>Oct</t>
  </si>
  <si>
    <t>Nov</t>
  </si>
  <si>
    <t>Dec</t>
  </si>
  <si>
    <t>NEWSPAPER</t>
  </si>
  <si>
    <t>City</t>
  </si>
  <si>
    <t>Total Newspaper</t>
  </si>
  <si>
    <t>CUSTOMER1</t>
  </si>
  <si>
    <t>DainikBhaskar</t>
  </si>
  <si>
    <t>Chopanki</t>
  </si>
  <si>
    <t>CUSTOMER2</t>
  </si>
  <si>
    <t>Jhiwana</t>
  </si>
  <si>
    <t>CUSTOMER3</t>
  </si>
  <si>
    <t>DainikJagran</t>
  </si>
  <si>
    <t>Tapukara</t>
  </si>
  <si>
    <t>CUSTOMER4</t>
  </si>
  <si>
    <t>CUSTOMER5</t>
  </si>
  <si>
    <t>CUSTOMER6</t>
  </si>
  <si>
    <t>TheTimesofIndia</t>
  </si>
  <si>
    <t>CUSTOMER7</t>
  </si>
  <si>
    <t>CUSTOMER8</t>
  </si>
  <si>
    <t>Rajasthanpatrika</t>
  </si>
  <si>
    <t>CUSTOMER9</t>
  </si>
  <si>
    <t>CUSTOMER10</t>
  </si>
  <si>
    <t>CUSTOMER11</t>
  </si>
  <si>
    <t>CUSTOMER12</t>
  </si>
  <si>
    <t>CUSTOMER13</t>
  </si>
  <si>
    <t>CUSTOMER14</t>
  </si>
  <si>
    <t>PunjabKesri</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</si>
  <si>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</si>
  <si>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</si>
  <si>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</si>
  <si>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</si>
  <si>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</si>
  <si>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</si>
  <si>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</si>
  <si>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</si>
  <si>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</si>
  <si>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</si>
  <si>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</si>
  <si>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</si>
  <si>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</si>
  <si>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</si>
  <si>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</si>
  <si>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</si>
  <si>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CUSTOMER31</t>
  </si>
  <si>
    <t>CUSTOMER32</t>
  </si>
  <si>
    <t>CUSTOMER33</t>
  </si>
  <si>
    <t>CUSTOMER34</t>
  </si>
  <si>
    <t>CUSTOMER35</t>
  </si>
  <si>
    <t>CUSTOMER36</t>
  </si>
  <si>
    <t>CUSTOMER37</t>
  </si>
  <si>
    <t>CUSTOMER38</t>
  </si>
  <si>
    <t>CUSTOMER39</t>
  </si>
  <si>
    <t>CUSTOMER40</t>
  </si>
  <si>
    <t>CUSTOMER41</t>
  </si>
  <si>
    <t>CUSTOMER42</t>
  </si>
  <si>
    <t>CUSTOMER43</t>
  </si>
  <si>
    <t>CUSTOMER44</t>
  </si>
  <si>
    <t>CUSTOMER45</t>
  </si>
  <si>
    <t>CUSTOMER46</t>
  </si>
  <si>
    <t>CUSTOMER47</t>
  </si>
  <si>
    <t>CUSTOMER48</t>
  </si>
  <si>
    <t>CUSTOMER49</t>
  </si>
  <si>
    <t>CUSTOMER50</t>
  </si>
  <si>
    <t>CUSTOMER51</t>
  </si>
  <si>
    <t>CUSTOMER52</t>
  </si>
  <si>
    <t>CUSTOMER53</t>
  </si>
  <si>
    <t>CUSTOMER54</t>
  </si>
  <si>
    <t>CUSTOMER55</t>
  </si>
  <si>
    <t>CUSTOMER56</t>
  </si>
  <si>
    <t>CUSTOMER57</t>
  </si>
  <si>
    <t>CUSTOMER58</t>
  </si>
  <si>
    <t>CUSTOMER59</t>
  </si>
  <si>
    <t>CUSTOMER60</t>
  </si>
  <si>
    <t>CUSTOMER61</t>
  </si>
  <si>
    <t>CUSTOMER62</t>
  </si>
  <si>
    <t>CUSTOMER63</t>
  </si>
  <si>
    <t>CUSTOMER64</t>
  </si>
  <si>
    <t>CUSTOMER65</t>
  </si>
  <si>
    <t>CUSTOMER66</t>
  </si>
  <si>
    <t>CUSTOMER67</t>
  </si>
  <si>
    <t>CUSTOMER68</t>
  </si>
  <si>
    <t>CUSTOMER69</t>
  </si>
  <si>
    <t>CUSTOMER70</t>
  </si>
  <si>
    <t>CUSTOMER71</t>
  </si>
  <si>
    <t>CUSTOMER72</t>
  </si>
  <si>
    <t>CUSTOMER73</t>
  </si>
  <si>
    <t>CUSTOMER74</t>
  </si>
  <si>
    <t>CUSTOMER75</t>
  </si>
  <si>
    <t>CUSTOMER76</t>
  </si>
  <si>
    <t>CUSTOMER77</t>
  </si>
  <si>
    <t>CUSTOMER78</t>
  </si>
  <si>
    <t>CUSTOMER79</t>
  </si>
  <si>
    <t>CUSTOMER80</t>
  </si>
  <si>
    <t>CUSTOMER81</t>
  </si>
  <si>
    <t>CUSTOMER82</t>
  </si>
  <si>
    <t>CUSTOMER83</t>
  </si>
  <si>
    <t>CUSTOMER84</t>
  </si>
  <si>
    <t>CUSTOMER85</t>
  </si>
  <si>
    <t>CUSTOMER86</t>
  </si>
  <si>
    <t>CUSTOMER87</t>
  </si>
  <si>
    <t>CUSTOMER88</t>
  </si>
  <si>
    <t>CUSTOMER89</t>
  </si>
  <si>
    <t>CUSTOMER90</t>
  </si>
  <si>
    <t>CUSTOMER91</t>
  </si>
  <si>
    <t>CUSTOMER92</t>
  </si>
  <si>
    <t>CUSTOMER93</t>
  </si>
  <si>
    <t>CUSTOMER94</t>
  </si>
  <si>
    <t>CUSTOMER95</t>
  </si>
  <si>
    <t>CUSTOMER96</t>
  </si>
  <si>
    <t>CUSTOMER97</t>
  </si>
  <si>
    <t>CUSTOMER98</t>
  </si>
  <si>
    <t>CUSTOMER99</t>
  </si>
  <si>
    <t>CUSTOMER100</t>
  </si>
  <si>
    <t>CUSTOMER101</t>
  </si>
  <si>
    <t>CUSTOMER102</t>
  </si>
  <si>
    <t>CUSTOMER103</t>
  </si>
  <si>
    <t>CUSTOMER104</t>
  </si>
  <si>
    <t>CUSTOMER105</t>
  </si>
  <si>
    <t>CUSTOMER106</t>
  </si>
  <si>
    <t>CUSTOMER107</t>
  </si>
  <si>
    <t>CUSTOMER108</t>
  </si>
  <si>
    <t>CUSTOMER109</t>
  </si>
  <si>
    <t>CUSTOMER110</t>
  </si>
  <si>
    <t>CUSTOMER111</t>
  </si>
  <si>
    <t>CUSTOMER112</t>
  </si>
  <si>
    <t>CUSTOMER113</t>
  </si>
  <si>
    <t>CUSTOMER114</t>
  </si>
  <si>
    <t>CUSTOMER115</t>
  </si>
  <si>
    <t>CUSTOMER116</t>
  </si>
  <si>
    <t>CUSTOMER117</t>
  </si>
  <si>
    <t>CUSTOMER118</t>
  </si>
  <si>
    <t>CUSTOMER119</t>
  </si>
  <si>
    <t>CUSTOMER120</t>
  </si>
  <si>
    <t>CUSTOMER121</t>
  </si>
  <si>
    <t>CUSTOMER122</t>
  </si>
  <si>
    <t>CUSTOMER123</t>
  </si>
  <si>
    <t>CUSTOMER124</t>
  </si>
  <si>
    <t>CUSTOMER125</t>
  </si>
  <si>
    <t>CUSTOMER126</t>
  </si>
  <si>
    <t>CUSTOMER127</t>
  </si>
  <si>
    <t>CUSTOMER128</t>
  </si>
  <si>
    <t>CUSTOMER129</t>
  </si>
  <si>
    <t>CUSTOMER130</t>
  </si>
  <si>
    <t>CUSTOMER131</t>
  </si>
  <si>
    <t>CUSTOMER132</t>
  </si>
  <si>
    <t>CUSTOMER133</t>
  </si>
  <si>
    <t>CUSTOMER134</t>
  </si>
  <si>
    <t>CUSTOMER135</t>
  </si>
  <si>
    <t>CUSTOMER136</t>
  </si>
  <si>
    <t>CUSTOMER137</t>
  </si>
  <si>
    <t>CUSTOMER138</t>
  </si>
  <si>
    <t>CUSTOMER139</t>
  </si>
  <si>
    <t>CUSTOMER140</t>
  </si>
  <si>
    <t>CUSTOMER141</t>
  </si>
  <si>
    <t>CUSTOMER142</t>
  </si>
  <si>
    <t>CUSTOMER143</t>
  </si>
  <si>
    <t>CUSTOMER144</t>
  </si>
  <si>
    <t>CUSTOMER145</t>
  </si>
  <si>
    <t>CUSTOMER146</t>
  </si>
  <si>
    <t>CUSTOMER147</t>
  </si>
  <si>
    <t>CUSTOMER148</t>
  </si>
  <si>
    <t>CUSTOMER149</t>
  </si>
  <si>
    <t>CUSTOMER150</t>
  </si>
  <si>
    <t>CUSTOMER151</t>
  </si>
  <si>
    <t>CUSTOMER152</t>
  </si>
  <si>
    <t>CUSTOMER153</t>
  </si>
  <si>
    <t>CUSTOMER154</t>
  </si>
  <si>
    <t>CUSTOMER155</t>
  </si>
  <si>
    <t>CUSTOMER156</t>
  </si>
  <si>
    <t>CUSTOMER157</t>
  </si>
  <si>
    <t>CUSTOMER158</t>
  </si>
  <si>
    <t>CUSTOMER159</t>
  </si>
  <si>
    <t>CUSTOMER160</t>
  </si>
  <si>
    <t>CUSTOMER161</t>
  </si>
  <si>
    <t>CUSTOMER162</t>
  </si>
  <si>
    <t>CUSTOMER163</t>
  </si>
  <si>
    <t>CUSTOMER164</t>
  </si>
  <si>
    <t>CUSTOMER165</t>
  </si>
  <si>
    <t>CUSTOMER166</t>
  </si>
  <si>
    <t>CUSTOMER167</t>
  </si>
  <si>
    <t>CUSTOMER168</t>
  </si>
  <si>
    <t>CUSTOMER169</t>
  </si>
  <si>
    <t>CUSTOMER170</t>
  </si>
  <si>
    <t>CUSTOMER171</t>
  </si>
  <si>
    <t>CUSTOMER172</t>
  </si>
  <si>
    <t>CUSTOMER173</t>
  </si>
  <si>
    <t>CUSTOMER174</t>
  </si>
  <si>
    <t>CUSTOMER175</t>
  </si>
  <si>
    <t>CUSTOMER176</t>
  </si>
  <si>
    <t>CUSTOMER177</t>
  </si>
  <si>
    <t>CUSTOMER178</t>
  </si>
  <si>
    <t>CUSTOMER179</t>
  </si>
  <si>
    <t>CUSTOMER180</t>
  </si>
  <si>
    <t>CUSTOMER181</t>
  </si>
  <si>
    <t>CUSTOMER182</t>
  </si>
  <si>
    <t>CUSTOMER183</t>
  </si>
  <si>
    <t>CUSTOMER184</t>
  </si>
  <si>
    <t>CUSTOMER185</t>
  </si>
  <si>
    <t>CUSTOMER186</t>
  </si>
  <si>
    <t>CUSTOMER187</t>
  </si>
  <si>
    <t>CUSTOMER188</t>
  </si>
  <si>
    <t>CUSTOMER189</t>
  </si>
  <si>
    <t>CUSTOMER190</t>
  </si>
  <si>
    <t>CUSTOMER191</t>
  </si>
  <si>
    <t>CUSTOMER192</t>
  </si>
  <si>
    <t>CUSTOMER193</t>
  </si>
  <si>
    <t>CUSTOMER194</t>
  </si>
  <si>
    <t>CUSTOMER195</t>
  </si>
  <si>
    <t>CUSTOMER196</t>
  </si>
  <si>
    <t>CUSTOMER197</t>
  </si>
  <si>
    <t>CUSTOMER198</t>
  </si>
  <si>
    <t>CUSTOMER199</t>
  </si>
  <si>
    <t>CUSTOMER200</t>
  </si>
  <si>
    <t>CUSTOMER201</t>
  </si>
  <si>
    <t>CUSTOMER202</t>
  </si>
  <si>
    <t>CUSTOMER203</t>
  </si>
  <si>
    <t>CUSTOMER204</t>
  </si>
  <si>
    <t>CUSTOMER205</t>
  </si>
  <si>
    <t>CUSTOMER206</t>
  </si>
  <si>
    <t>CUSTOMER207</t>
  </si>
  <si>
    <t>CUSTOMER208</t>
  </si>
  <si>
    <t>CUSTOMER209</t>
  </si>
  <si>
    <t>CUSTOMER210</t>
  </si>
  <si>
    <t>CUSTOMER211</t>
  </si>
  <si>
    <t>CUSTOMER212</t>
  </si>
  <si>
    <t>CUSTOMER213</t>
  </si>
  <si>
    <t>CUSTOMER214</t>
  </si>
  <si>
    <t>CUSTOMER215</t>
  </si>
  <si>
    <t>CUSTOMER216</t>
  </si>
  <si>
    <t>CUSTOMER217</t>
  </si>
  <si>
    <t>CUSTOMER218</t>
  </si>
  <si>
    <t>CUSTOMER219</t>
  </si>
  <si>
    <t>CUSTOMER220</t>
  </si>
  <si>
    <t>CUSTOMER221</t>
  </si>
  <si>
    <t>CUSTOMER222</t>
  </si>
  <si>
    <t>CUSTOMER223</t>
  </si>
  <si>
    <t>CUSTOMER224</t>
  </si>
  <si>
    <t>CUSTOMER225</t>
  </si>
  <si>
    <t>CUSTOMER226</t>
  </si>
  <si>
    <t>CUSTOMER227</t>
  </si>
  <si>
    <t>CUSTOMER228</t>
  </si>
  <si>
    <t>CUSTOMER229</t>
  </si>
  <si>
    <t>CUSTOMER230</t>
  </si>
  <si>
    <t>CUSTOMER231</t>
  </si>
  <si>
    <t>CUSTOMER232</t>
  </si>
  <si>
    <t>CUSTOMER233</t>
  </si>
  <si>
    <t>CUSTOMER234</t>
  </si>
  <si>
    <t>CUSTOMER235</t>
  </si>
  <si>
    <t>CUSTOMER236</t>
  </si>
  <si>
    <t>CUSTOMER237</t>
  </si>
  <si>
    <t>CUSTOMER238</t>
  </si>
  <si>
    <t>CUSTOMER239</t>
  </si>
  <si>
    <t>CUSTOMER240</t>
  </si>
  <si>
    <t>CUSTOMER241</t>
  </si>
  <si>
    <t>CUSTOMER242</t>
  </si>
  <si>
    <t>CUSTOMER243</t>
  </si>
  <si>
    <t>CUSTOMER244</t>
  </si>
  <si>
    <t>CUSTOMER245</t>
  </si>
  <si>
    <t>CUSTOMER246</t>
  </si>
  <si>
    <t>CUSTOMER247</t>
  </si>
  <si>
    <t>CUSTOMER248</t>
  </si>
  <si>
    <t>CUSTOMER249</t>
  </si>
  <si>
    <t>CUSTOMER250</t>
  </si>
  <si>
    <t>CUSTOMER251</t>
  </si>
  <si>
    <t>CUSTOMER252</t>
  </si>
  <si>
    <t>CUSTOMER253</t>
  </si>
  <si>
    <t>CUSTOMER254</t>
  </si>
  <si>
    <t>CUSTOMER255</t>
  </si>
  <si>
    <t>CUSTOMER256</t>
  </si>
  <si>
    <t>CUSTOMER257</t>
  </si>
  <si>
    <t>CUSTOMER258</t>
  </si>
  <si>
    <t>CUSTOMER259</t>
  </si>
  <si>
    <t>CUSTOMER260</t>
  </si>
  <si>
    <t>CUSTOMER261</t>
  </si>
  <si>
    <t>CUSTOMER262</t>
  </si>
  <si>
    <t>CUSTOMER263</t>
  </si>
  <si>
    <t>CUSTOMER264</t>
  </si>
  <si>
    <t>CUSTOMER265</t>
  </si>
  <si>
    <t>CUSTOMER266</t>
  </si>
  <si>
    <t>CUSTOMER267</t>
  </si>
  <si>
    <t>CUSTOMER268</t>
  </si>
  <si>
    <t>CUSTOMER269</t>
  </si>
  <si>
    <t>CUSTOMER270</t>
  </si>
  <si>
    <t>CUSTOMER271</t>
  </si>
  <si>
    <t>CUSTOMER272</t>
  </si>
  <si>
    <t>CUSTOMER273</t>
  </si>
  <si>
    <t>CUSTOMER274</t>
  </si>
  <si>
    <t>CUSTOMER275</t>
  </si>
  <si>
    <t>CUSTOMER276</t>
  </si>
  <si>
    <t>CUSTOMER277</t>
  </si>
  <si>
    <t>CUSTOMER278</t>
  </si>
  <si>
    <t>CUSTOMER279</t>
  </si>
  <si>
    <t>CUSTOMER280</t>
  </si>
  <si>
    <t>CUSTOMER281</t>
  </si>
  <si>
    <t>CUSTOMER282</t>
  </si>
  <si>
    <t>CUSTOMER283</t>
  </si>
  <si>
    <t>CUSTOMER284</t>
  </si>
  <si>
    <t>CUSTOMER285</t>
  </si>
  <si>
    <t>CUSTOMER286</t>
  </si>
  <si>
    <t>CUSTOMER287</t>
  </si>
  <si>
    <t>CUSTOMER288</t>
  </si>
  <si>
    <t>CUSTOMER289</t>
  </si>
  <si>
    <t>CUSTOMER290</t>
  </si>
  <si>
    <t>CUSTOMER291</t>
  </si>
  <si>
    <t>CUSTOMER292</t>
  </si>
  <si>
    <t>CUSTOMER293</t>
  </si>
  <si>
    <t>CUSTOMER294</t>
  </si>
  <si>
    <t>CUSTOMER295</t>
  </si>
  <si>
    <t>CUSTOMER296</t>
  </si>
  <si>
    <t>CUSTOMER297</t>
  </si>
  <si>
    <t>CUSTOMER298</t>
  </si>
  <si>
    <t>CUSTOMER299</t>
  </si>
  <si>
    <t>CUSTOMER300</t>
  </si>
  <si>
    <t>CUSTOMER301</t>
  </si>
  <si>
    <t>CUSTOMER302</t>
  </si>
  <si>
    <t>CUSTOMER303</t>
  </si>
  <si>
    <t>CUSTOMER304</t>
  </si>
  <si>
    <t>CUSTOMER305</t>
  </si>
  <si>
    <t>CUSTOMER306</t>
  </si>
  <si>
    <t>CUSTOMER307</t>
  </si>
  <si>
    <t>CUSTOMER308</t>
  </si>
  <si>
    <t>CUSTOMER309</t>
  </si>
  <si>
    <t>CUSTOMER310</t>
  </si>
  <si>
    <t>CUSTOMER311</t>
  </si>
  <si>
    <t>CUSTOMER312</t>
  </si>
  <si>
    <t>CUSTOMER313</t>
  </si>
  <si>
    <t>CUSTOMER314</t>
  </si>
  <si>
    <t>CUSTOMER315</t>
  </si>
  <si>
    <t>CUSTOMER316</t>
  </si>
  <si>
    <t>CUSTOMER317</t>
  </si>
  <si>
    <t>CUSTOMER318</t>
  </si>
  <si>
    <t>CUSTOMER319</t>
  </si>
  <si>
    <t>CUSTOMER320</t>
  </si>
  <si>
    <t>CUSTOMER321</t>
  </si>
  <si>
    <t>CUSTOMER322</t>
  </si>
  <si>
    <t>CUSTOMER323</t>
  </si>
  <si>
    <t>CUSTOMER324</t>
  </si>
  <si>
    <t>CUSTOMER325</t>
  </si>
  <si>
    <t>CUSTOMER326</t>
  </si>
  <si>
    <t>CUSTOMER327</t>
  </si>
  <si>
    <t>CUSTOMER328</t>
  </si>
  <si>
    <t>CUSTOMER329</t>
  </si>
  <si>
    <t>CUSTOMER330</t>
  </si>
  <si>
    <t>CUSTOMER331</t>
  </si>
  <si>
    <t>CUSTOMER332</t>
  </si>
  <si>
    <t>CUSTOMER333</t>
  </si>
  <si>
    <t>CUSTOMER334</t>
  </si>
  <si>
    <t>CUSTOMER335</t>
  </si>
  <si>
    <t>CUSTOMER336</t>
  </si>
  <si>
    <t>CUSTOMER337</t>
  </si>
  <si>
    <t>CUSTOMER338</t>
  </si>
  <si>
    <t>CUSTOMER339</t>
  </si>
  <si>
    <t>CUSTOMER340</t>
  </si>
  <si>
    <t>CUSTOMER341</t>
  </si>
  <si>
    <t>CUSTOMER342</t>
  </si>
  <si>
    <t>CUSTOMER343</t>
  </si>
  <si>
    <t>CUSTOMER344</t>
  </si>
  <si>
    <t>CUSTOMER345</t>
  </si>
  <si>
    <t>CUSTOMER346</t>
  </si>
  <si>
    <t>CUSTOMER347</t>
  </si>
  <si>
    <t>CUSTOMER348</t>
  </si>
  <si>
    <t>CUSTOMER349</t>
  </si>
  <si>
    <t>CUSTOMER350</t>
  </si>
  <si>
    <t>CUSTOMER351</t>
  </si>
  <si>
    <t>CUSTOMER352</t>
  </si>
  <si>
    <t>CUSTOMER353</t>
  </si>
  <si>
    <t>CUSTOMER354</t>
  </si>
  <si>
    <t>CUSTOMER355</t>
  </si>
  <si>
    <t>CUSTOMER356</t>
  </si>
  <si>
    <t>CUSTOMER357</t>
  </si>
  <si>
    <t>CUSTOMER358</t>
  </si>
  <si>
    <t>CUSTOMER359</t>
  </si>
  <si>
    <t>CUSTOMER360</t>
  </si>
  <si>
    <t>CUSTOMER361</t>
  </si>
  <si>
    <t>CUSTOMER362</t>
  </si>
  <si>
    <t>CUSTOMER363</t>
  </si>
  <si>
    <t>CUSTOMER364</t>
  </si>
  <si>
    <t>CUSTOMER365</t>
  </si>
  <si>
    <t>CUSTOMER366</t>
  </si>
  <si>
    <t>CUSTOMER367</t>
  </si>
  <si>
    <t>CUSTOMER368</t>
  </si>
  <si>
    <t>CUSTOMER369</t>
  </si>
  <si>
    <t>CUSTOMER370</t>
  </si>
  <si>
    <t>CUSTOMER371</t>
  </si>
  <si>
    <t>CUSTOMER372</t>
  </si>
  <si>
    <t>CUSTOMER373</t>
  </si>
  <si>
    <t>CUSTOMER374</t>
  </si>
  <si>
    <t>CUSTOMER375</t>
  </si>
  <si>
    <t>CUSTOMER376</t>
  </si>
  <si>
    <t>CUSTOMER377</t>
  </si>
  <si>
    <t>CUSTOMER378</t>
  </si>
  <si>
    <t>CUSTOMER379</t>
  </si>
  <si>
    <t>CUSTOMER380</t>
  </si>
  <si>
    <t>CUSTOMER381</t>
  </si>
  <si>
    <t>CUSTOMER382</t>
  </si>
  <si>
    <t>CUSTOMER383</t>
  </si>
  <si>
    <t>CUSTOMER384</t>
  </si>
  <si>
    <t>CUSTOMER385</t>
  </si>
  <si>
    <t>CUSTOMER386</t>
  </si>
  <si>
    <t>CUSTOMER387</t>
  </si>
  <si>
    <t>CUSTOMER388</t>
  </si>
  <si>
    <t>CUSTOMER389</t>
  </si>
  <si>
    <t>CUSTOMER390</t>
  </si>
  <si>
    <t>CUSTOMER391</t>
  </si>
  <si>
    <t>CUSTOMER392</t>
  </si>
  <si>
    <t>CUSTOMER393</t>
  </si>
  <si>
    <t>CUSTOMER394</t>
  </si>
  <si>
    <t>CUSTOMER395</t>
  </si>
  <si>
    <t>CUSTOMER396</t>
  </si>
  <si>
    <t>CUSTOMER397</t>
  </si>
  <si>
    <t>CUSTOMER398</t>
  </si>
  <si>
    <t>CUSTOMER399</t>
  </si>
  <si>
    <t>CUSTOMER400</t>
  </si>
  <si>
    <t>CUSTOMER401</t>
  </si>
  <si>
    <t>CUSTOMER402</t>
  </si>
  <si>
    <t>CUSTOMER403</t>
  </si>
  <si>
    <t>CUSTOMER404</t>
  </si>
  <si>
    <t>CUSTOMER405</t>
  </si>
  <si>
    <t>CUSTOMER406</t>
  </si>
  <si>
    <t>CUSTOMER407</t>
  </si>
  <si>
    <t>CUSTOMER408</t>
  </si>
  <si>
    <t>CUSTOMER409</t>
  </si>
  <si>
    <t>CUSTOMER410</t>
  </si>
  <si>
    <t>CUSTOMER411</t>
  </si>
  <si>
    <t>CUSTOMER412</t>
  </si>
  <si>
    <t>CUSTOMER413</t>
  </si>
  <si>
    <t>CUSTOMER414</t>
  </si>
  <si>
    <t>CUSTOMER415</t>
  </si>
  <si>
    <t>CUSTOMER416</t>
  </si>
  <si>
    <t>CUSTOMER417</t>
  </si>
  <si>
    <t>CUSTOMER418</t>
  </si>
  <si>
    <t>CUSTOMER419</t>
  </si>
  <si>
    <t>CUSTOMER420</t>
  </si>
  <si>
    <t>CUSTOMER421</t>
  </si>
  <si>
    <t>CUSTOMER422</t>
  </si>
  <si>
    <t>CUSTOMER423</t>
  </si>
  <si>
    <t>CUSTOMER424</t>
  </si>
  <si>
    <t>CUSTOMER425</t>
  </si>
  <si>
    <t>CUSTOMER426</t>
  </si>
  <si>
    <t>CUSTOMER427</t>
  </si>
  <si>
    <t>CUSTOMER428</t>
  </si>
  <si>
    <t>CUSTOMER429</t>
  </si>
  <si>
    <t>CUSTOMER430</t>
  </si>
  <si>
    <t>CUSTOMER431</t>
  </si>
  <si>
    <t>CUSTOMER432</t>
  </si>
  <si>
    <t>CUSTOMER433</t>
  </si>
  <si>
    <t>CUSTOMER434</t>
  </si>
  <si>
    <t>CUSTOMER435</t>
  </si>
  <si>
    <t>CUSTOMER436</t>
  </si>
  <si>
    <t>CUSTOMER437</t>
  </si>
  <si>
    <t>CUSTOMER438</t>
  </si>
  <si>
    <t>CUSTOMER439</t>
  </si>
  <si>
    <t>CUSTOMER440</t>
  </si>
  <si>
    <t>CUSTOMER441</t>
  </si>
  <si>
    <t>CUSTOMER442</t>
  </si>
  <si>
    <t>CUSTOMER443</t>
  </si>
  <si>
    <t>CUSTOMER444</t>
  </si>
  <si>
    <t>CUSTOMER445</t>
  </si>
  <si>
    <t>CUSTOMER446</t>
  </si>
  <si>
    <t>CUSTOMER447</t>
  </si>
  <si>
    <t>CUSTOMER448</t>
  </si>
  <si>
    <t>CUSTOMER449</t>
  </si>
  <si>
    <t>CUSTOMER450</t>
  </si>
  <si>
    <t>CUSTOMER451</t>
  </si>
  <si>
    <t>CUSTOMER452</t>
  </si>
  <si>
    <t>CUSTOMER453</t>
  </si>
  <si>
    <t>CUSTOMER454</t>
  </si>
  <si>
    <t>CUSTOMER455</t>
  </si>
  <si>
    <t>CUSTOMER456</t>
  </si>
  <si>
    <t>CUSTOMER457</t>
  </si>
  <si>
    <t>CUSTOMER458</t>
  </si>
  <si>
    <t>CUSTOMER459</t>
  </si>
  <si>
    <t>CUSTOMER460</t>
  </si>
  <si>
    <t>CUSTOMER461</t>
  </si>
  <si>
    <t>CUSTOMER462</t>
  </si>
  <si>
    <t>CUSTOMER463</t>
  </si>
  <si>
    <t>CUSTOMER464</t>
  </si>
  <si>
    <t>CUSTOMER465</t>
  </si>
  <si>
    <t>CUSTOMER466</t>
  </si>
  <si>
    <t>CUSTOMER467</t>
  </si>
  <si>
    <t>CUSTOMER468</t>
  </si>
  <si>
    <t>CUSTOMER469</t>
  </si>
  <si>
    <t>CUSTOMER470</t>
  </si>
  <si>
    <t>CUSTOMER471</t>
  </si>
  <si>
    <t>CUSTOMER472</t>
  </si>
  <si>
    <t>CUSTOMER473</t>
  </si>
  <si>
    <t>CUSTOMER474</t>
  </si>
  <si>
    <t>CUSTOMER475</t>
  </si>
  <si>
    <t>CUSTOMER476</t>
  </si>
  <si>
    <t>CUSTOMER477</t>
  </si>
  <si>
    <t>CUSTOMER478</t>
  </si>
  <si>
    <t>CUSTOMER479</t>
  </si>
  <si>
    <t>CUSTOMER480</t>
  </si>
  <si>
    <t>CUSTOMER481</t>
  </si>
  <si>
    <t>CUSTOMER482</t>
  </si>
  <si>
    <t>CUSTOMER483</t>
  </si>
  <si>
    <t>CUSTOMER484</t>
  </si>
  <si>
    <t>CUSTOMER485</t>
  </si>
  <si>
    <t>CUSTOMER486</t>
  </si>
  <si>
    <t>CUSTOMER487</t>
  </si>
  <si>
    <t>CUSTOMER488</t>
  </si>
  <si>
    <t>CUSTOMER489</t>
  </si>
  <si>
    <t>CUSTOMER490</t>
  </si>
  <si>
    <t>CUSTOMER491</t>
  </si>
  <si>
    <t>CUSTOMER492</t>
  </si>
  <si>
    <t>CUSTOMER493</t>
  </si>
  <si>
    <t>CUSTOMER494</t>
  </si>
  <si>
    <t>CUSTOMER495</t>
  </si>
  <si>
    <t>CUSTOMER496</t>
  </si>
  <si>
    <t>CUSTOMER497</t>
  </si>
  <si>
    <t>CUSTOMER498</t>
  </si>
  <si>
    <t>CUSTOMER499</t>
  </si>
  <si>
    <t>CUSTOMER500</t>
  </si>
  <si>
    <t>Bill Amount</t>
  </si>
  <si>
    <t>Rating</t>
  </si>
  <si>
    <t>Payment Mode</t>
  </si>
  <si>
    <t>UPI</t>
  </si>
  <si>
    <t>Cash</t>
  </si>
  <si>
    <t>Sum of Bill Amount</t>
  </si>
  <si>
    <t>Sum of Rating</t>
  </si>
  <si>
    <t>Average of Rating</t>
  </si>
  <si>
    <t>Sum of Total Newspaper</t>
  </si>
  <si>
    <t>KPI's</t>
  </si>
  <si>
    <t>Total Sales</t>
  </si>
  <si>
    <t>Average Rating</t>
  </si>
  <si>
    <t>Rating Count</t>
  </si>
  <si>
    <t>Total Newspapers</t>
  </si>
  <si>
    <t>Row Labels</t>
  </si>
  <si>
    <t>Grand Total</t>
  </si>
  <si>
    <t>Count of Sr. No.</t>
  </si>
  <si>
    <t>Age Group</t>
  </si>
  <si>
    <t>Sum of Employe ID</t>
  </si>
  <si>
    <t>City Sales</t>
  </si>
  <si>
    <t>Monthly Sales</t>
  </si>
  <si>
    <t>Count of Employe ID</t>
  </si>
  <si>
    <t>Payment</t>
  </si>
  <si>
    <t>18-25</t>
  </si>
  <si>
    <t>26-35</t>
  </si>
  <si>
    <t>36-45</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</si>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</sst>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K&quot;"/>
    <numFmt numFmtId="165" formatCode="&quot;₹&quot;\ 0.00,&quot;K&quot;"/>
  </numFmts>
  <fonts count="6" x14ac:knownFonts="1">
    <font>
      <sz val="11"/>
      <color theme="1"/>
      <name val="Calibri"/>
      <family val="2"/>
      <scheme val="minor"/>
    </font>
    <font>
      <b/>
      <sz val="11"/>
      <color theme="1"/>
      <name val="Calibri"/>
      <family val="2"/>
      <scheme val="minor"/>
    </font>
    <font>
      <b/>
      <sz val="22"/>
      <color theme="1"/>
      <name val="Calibri"/>
      <family val="2"/>
      <scheme val="minor"/>
    </font>
    <font>
      <sz val="12"/>
      <color theme="1"/>
      <name val="Calibri"/>
      <family val="2"/>
      <scheme val="minor"/>
    </font>
    <font>
      <b/>
      <sz val="16"/>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14" fontId="0" fillId="0" borderId="0" xfId="0" applyNumberFormat="1"/>
    <xf numFmtId="0" fontId="1" fillId="0" borderId="0" xfId="0" applyFont="1" applyAlignment="1">
      <alignment horizontal="center"/>
    </xf>
    <xf numFmtId="0" fontId="1" fillId="0" borderId="0" xfId="0" applyFont="1"/>
    <xf numFmtId="0" fontId="0" fillId="0" borderId="0" xfId="0"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165" fontId="3" fillId="0" borderId="1" xfId="0" applyNumberFormat="1" applyFont="1"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0" fillId="0" borderId="5" xfId="0" applyBorder="1"/>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0" fontId="0" fillId="0" borderId="8" xfId="0" applyBorder="1" applyAlignment="1">
      <alignment horizontal="center"/>
    </xf>
    <xf numFmtId="14" fontId="0" fillId="0" borderId="8" xfId="0" applyNumberFormat="1" applyBorder="1"/>
    <xf numFmtId="0" fontId="0" fillId="0" borderId="9" xfId="0" applyBorder="1"/>
    <xf numFmtId="0" fontId="2"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3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!PivotTable2</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'!$G$3</c:f>
              <c:strCache>
                <c:ptCount val="1"/>
                <c:pt idx="0">
                  <c:v>Sum of Bill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'!$F$4:$F$13</c:f>
              <c:strCache>
                <c:ptCount val="9"/>
                <c:pt idx="0">
                  <c:v>Jan</c:v>
                </c:pt>
                <c:pt idx="1">
                  <c:v>Feb</c:v>
                </c:pt>
                <c:pt idx="2">
                  <c:v>Mar</c:v>
                </c:pt>
                <c:pt idx="3">
                  <c:v>Apr</c:v>
                </c:pt>
                <c:pt idx="4">
                  <c:v>May</c:v>
                </c:pt>
                <c:pt idx="5">
                  <c:v>Jun</c:v>
                </c:pt>
                <c:pt idx="6">
                  <c:v>Jul</c:v>
                </c:pt>
                <c:pt idx="7">
                  <c:v>Aug</c:v>
                </c:pt>
                <c:pt idx="8">
                  <c:v>Sep</c:v>
                </c:pt>
              </c:strCache>
            </c:strRef>
          </c:cat>
          <c:val>
            <c:numRef>
              <c:f>'pivot '!$G$4:$G$13</c:f>
              <c:numCache>
                <c:formatCode>General</c:formatCode>
                <c:ptCount val="9"/>
                <c:pt idx="0">
                  <c:v>95034</c:v>
                </c:pt>
                <c:pt idx="1">
                  <c:v>83244</c:v>
                </c:pt>
                <c:pt idx="2">
                  <c:v>104940</c:v>
                </c:pt>
                <c:pt idx="3">
                  <c:v>132600</c:v>
                </c:pt>
                <c:pt idx="4">
                  <c:v>98982</c:v>
                </c:pt>
                <c:pt idx="5">
                  <c:v>114828</c:v>
                </c:pt>
                <c:pt idx="6">
                  <c:v>120864</c:v>
                </c:pt>
                <c:pt idx="7">
                  <c:v>114816</c:v>
                </c:pt>
                <c:pt idx="8">
                  <c:v>124680</c:v>
                </c:pt>
              </c:numCache>
            </c:numRef>
          </c:val>
          <c:smooth val="0"/>
          <c:extLst>
            <c:ext xmlns:c16="http://schemas.microsoft.com/office/drawing/2014/chart" uri="{C3380CC4-5D6E-409C-BE32-E72D297353CC}">
              <c16:uniqueId val="{00000000-1AD9-42E7-9BF6-CD3E36262387}"/>
            </c:ext>
          </c:extLst>
        </c:ser>
        <c:ser>
          <c:idx val="1"/>
          <c:order val="1"/>
          <c:tx>
            <c:strRef>
              <c:f>'pivot '!$H$3</c:f>
              <c:strCache>
                <c:ptCount val="1"/>
                <c:pt idx="0">
                  <c:v>Sum of Total Newspaper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'!$F$4:$F$13</c:f>
              <c:strCache>
                <c:ptCount val="9"/>
                <c:pt idx="0">
                  <c:v>Jan</c:v>
                </c:pt>
                <c:pt idx="1">
                  <c:v>Feb</c:v>
                </c:pt>
                <c:pt idx="2">
                  <c:v>Mar</c:v>
                </c:pt>
                <c:pt idx="3">
                  <c:v>Apr</c:v>
                </c:pt>
                <c:pt idx="4">
                  <c:v>May</c:v>
                </c:pt>
                <c:pt idx="5">
                  <c:v>Jun</c:v>
                </c:pt>
                <c:pt idx="6">
                  <c:v>Jul</c:v>
                </c:pt>
                <c:pt idx="7">
                  <c:v>Aug</c:v>
                </c:pt>
                <c:pt idx="8">
                  <c:v>Sep</c:v>
                </c:pt>
              </c:strCache>
            </c:strRef>
          </c:cat>
          <c:val>
            <c:numRef>
              <c:f>'pivot '!$H$4:$H$13</c:f>
              <c:numCache>
                <c:formatCode>General</c:formatCode>
                <c:ptCount val="9"/>
                <c:pt idx="0">
                  <c:v>15839</c:v>
                </c:pt>
                <c:pt idx="1">
                  <c:v>13874</c:v>
                </c:pt>
                <c:pt idx="2">
                  <c:v>17490</c:v>
                </c:pt>
                <c:pt idx="3">
                  <c:v>22100</c:v>
                </c:pt>
                <c:pt idx="4">
                  <c:v>16497</c:v>
                </c:pt>
                <c:pt idx="5">
                  <c:v>19138</c:v>
                </c:pt>
                <c:pt idx="6">
                  <c:v>20144</c:v>
                </c:pt>
                <c:pt idx="7">
                  <c:v>19136</c:v>
                </c:pt>
                <c:pt idx="8">
                  <c:v>20780</c:v>
                </c:pt>
              </c:numCache>
            </c:numRef>
          </c:val>
          <c:smooth val="0"/>
          <c:extLst>
            <c:ext xmlns:c16="http://schemas.microsoft.com/office/drawing/2014/chart" uri="{C3380CC4-5D6E-409C-BE32-E72D297353CC}">
              <c16:uniqueId val="{00000001-1AD9-42E7-9BF6-CD3E36262387}"/>
            </c:ext>
          </c:extLst>
        </c:ser>
        <c:dLbls>
          <c:showLegendKey val="0"/>
          <c:showVal val="0"/>
          <c:showCatName val="0"/>
          <c:showSerName val="0"/>
          <c:showPercent val="0"/>
          <c:showBubbleSize val="0"/>
        </c:dLbls>
        <c:marker val="1"/>
        <c:smooth val="0"/>
        <c:axId val="609490560"/>
        <c:axId val="630810064"/>
      </c:lineChart>
      <c:catAx>
        <c:axId val="6094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810064"/>
        <c:crosses val="autoZero"/>
        <c:auto val="1"/>
        <c:lblAlgn val="ctr"/>
        <c:lblOffset val="100"/>
        <c:noMultiLvlLbl val="0"/>
      </c:catAx>
      <c:valAx>
        <c:axId val="63081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9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!PivotTable4</c:name>
    <c:fmtId val="11"/>
  </c:pivotSource>
  <c:chart>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'!$B$13</c:f>
              <c:strCache>
                <c:ptCount val="1"/>
                <c:pt idx="0">
                  <c:v>Count of Employe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B-40F3-9E9D-8DD3AAA507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B-40F3-9E9D-8DD3AAA507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'!$A$14:$A$16</c:f>
              <c:strCache>
                <c:ptCount val="2"/>
                <c:pt idx="0">
                  <c:v>Cash</c:v>
                </c:pt>
                <c:pt idx="1">
                  <c:v>UPI</c:v>
                </c:pt>
              </c:strCache>
            </c:strRef>
          </c:cat>
          <c:val>
            <c:numRef>
              <c:f>'pivot '!$B$14:$B$16</c:f>
              <c:numCache>
                <c:formatCode>General</c:formatCode>
                <c:ptCount val="2"/>
                <c:pt idx="0">
                  <c:v>241</c:v>
                </c:pt>
                <c:pt idx="1">
                  <c:v>259</c:v>
                </c:pt>
              </c:numCache>
            </c:numRef>
          </c:val>
          <c:extLst>
            <c:ext xmlns:c16="http://schemas.microsoft.com/office/drawing/2014/chart" uri="{C3380CC4-5D6E-409C-BE32-E72D297353CC}">
              <c16:uniqueId val="{00000004-46AB-40F3-9E9D-8DD3AAA5071C}"/>
            </c:ext>
          </c:extLst>
        </c:ser>
        <c:ser>
          <c:idx val="1"/>
          <c:order val="1"/>
          <c:tx>
            <c:strRef>
              <c:f>'pivot '!$C$13</c:f>
              <c:strCache>
                <c:ptCount val="1"/>
                <c:pt idx="0">
                  <c:v>Sum of Bill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6AB-40F3-9E9D-8DD3AAA507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6AB-40F3-9E9D-8DD3AAA507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'!$A$14:$A$16</c:f>
              <c:strCache>
                <c:ptCount val="2"/>
                <c:pt idx="0">
                  <c:v>Cash</c:v>
                </c:pt>
                <c:pt idx="1">
                  <c:v>UPI</c:v>
                </c:pt>
              </c:strCache>
            </c:strRef>
          </c:cat>
          <c:val>
            <c:numRef>
              <c:f>'pivot '!$C$14:$C$16</c:f>
              <c:numCache>
                <c:formatCode>General</c:formatCode>
                <c:ptCount val="2"/>
                <c:pt idx="0">
                  <c:v>477306</c:v>
                </c:pt>
                <c:pt idx="1">
                  <c:v>512682</c:v>
                </c:pt>
              </c:numCache>
            </c:numRef>
          </c:val>
          <c:extLst>
            <c:ext xmlns:c16="http://schemas.microsoft.com/office/drawing/2014/chart" uri="{C3380CC4-5D6E-409C-BE32-E72D297353CC}">
              <c16:uniqueId val="{00000009-46AB-40F3-9E9D-8DD3AAA5071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!PivotTable8</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'!$F$16</c:f>
              <c:strCache>
                <c:ptCount val="1"/>
                <c:pt idx="0">
                  <c:v>Count of Employe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'!$E$17:$E$21</c:f>
              <c:strCache>
                <c:ptCount val="4"/>
                <c:pt idx="0">
                  <c:v>18-25</c:v>
                </c:pt>
                <c:pt idx="1">
                  <c:v>26-35</c:v>
                </c:pt>
                <c:pt idx="2">
                  <c:v>36-45</c:v>
                </c:pt>
                <c:pt idx="3">
                  <c:v>50+</c:v>
                </c:pt>
              </c:strCache>
            </c:strRef>
          </c:cat>
          <c:val>
            <c:numRef>
              <c:f>'pivot '!$F$17:$F$21</c:f>
              <c:numCache>
                <c:formatCode>General</c:formatCode>
                <c:ptCount val="4"/>
                <c:pt idx="0">
                  <c:v>159</c:v>
                </c:pt>
                <c:pt idx="1">
                  <c:v>159</c:v>
                </c:pt>
                <c:pt idx="2">
                  <c:v>125</c:v>
                </c:pt>
                <c:pt idx="3">
                  <c:v>57</c:v>
                </c:pt>
              </c:numCache>
            </c:numRef>
          </c:val>
          <c:extLst>
            <c:ext xmlns:c16="http://schemas.microsoft.com/office/drawing/2014/chart" uri="{C3380CC4-5D6E-409C-BE32-E72D297353CC}">
              <c16:uniqueId val="{00000000-38B8-4B94-99EE-D8C8D0BD7E73}"/>
            </c:ext>
          </c:extLst>
        </c:ser>
        <c:ser>
          <c:idx val="1"/>
          <c:order val="1"/>
          <c:tx>
            <c:strRef>
              <c:f>'pivot '!$G$16</c:f>
              <c:strCache>
                <c:ptCount val="1"/>
                <c:pt idx="0">
                  <c:v>Sum of Bill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'!$E$17:$E$21</c:f>
              <c:strCache>
                <c:ptCount val="4"/>
                <c:pt idx="0">
                  <c:v>18-25</c:v>
                </c:pt>
                <c:pt idx="1">
                  <c:v>26-35</c:v>
                </c:pt>
                <c:pt idx="2">
                  <c:v>36-45</c:v>
                </c:pt>
                <c:pt idx="3">
                  <c:v>50+</c:v>
                </c:pt>
              </c:strCache>
            </c:strRef>
          </c:cat>
          <c:val>
            <c:numRef>
              <c:f>'pivot '!$G$17:$G$21</c:f>
              <c:numCache>
                <c:formatCode>General</c:formatCode>
                <c:ptCount val="4"/>
                <c:pt idx="0">
                  <c:v>314826</c:v>
                </c:pt>
                <c:pt idx="1">
                  <c:v>314862</c:v>
                </c:pt>
                <c:pt idx="2">
                  <c:v>247506</c:v>
                </c:pt>
                <c:pt idx="3">
                  <c:v>112794</c:v>
                </c:pt>
              </c:numCache>
            </c:numRef>
          </c:val>
          <c:extLst>
            <c:ext xmlns:c16="http://schemas.microsoft.com/office/drawing/2014/chart" uri="{C3380CC4-5D6E-409C-BE32-E72D297353CC}">
              <c16:uniqueId val="{00000001-38B8-4B94-99EE-D8C8D0BD7E73}"/>
            </c:ext>
          </c:extLst>
        </c:ser>
        <c:dLbls>
          <c:dLblPos val="outEnd"/>
          <c:showLegendKey val="0"/>
          <c:showVal val="1"/>
          <c:showCatName val="0"/>
          <c:showSerName val="0"/>
          <c:showPercent val="0"/>
          <c:showBubbleSize val="0"/>
        </c:dLbls>
        <c:gapWidth val="219"/>
        <c:overlap val="-27"/>
        <c:axId val="657514400"/>
        <c:axId val="523399632"/>
      </c:barChart>
      <c:catAx>
        <c:axId val="657514400"/>
        <c:scaling>
          <c:orientation val="minMax"/>
        </c:scaling>
        <c:delete val="1"/>
        <c:axPos val="b"/>
        <c:numFmt formatCode="General" sourceLinked="1"/>
        <c:majorTickMark val="none"/>
        <c:minorTickMark val="none"/>
        <c:tickLblPos val="nextTo"/>
        <c:crossAx val="523399632"/>
        <c:crosses val="autoZero"/>
        <c:auto val="1"/>
        <c:lblAlgn val="ctr"/>
        <c:lblOffset val="100"/>
        <c:noMultiLvlLbl val="0"/>
      </c:catAx>
      <c:valAx>
        <c:axId val="523399632"/>
        <c:scaling>
          <c:orientation val="minMax"/>
        </c:scaling>
        <c:delete val="1"/>
        <c:axPos val="l"/>
        <c:numFmt formatCode="General" sourceLinked="1"/>
        <c:majorTickMark val="none"/>
        <c:minorTickMark val="none"/>
        <c:tickLblPos val="nextTo"/>
        <c:crossAx val="65751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'!$B$19</c:f>
              <c:strCache>
                <c:ptCount val="1"/>
                <c:pt idx="0">
                  <c:v>Count of Employe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'!$A$20:$A$22</c:f>
              <c:strCache>
                <c:ptCount val="2"/>
                <c:pt idx="0">
                  <c:v>Female</c:v>
                </c:pt>
                <c:pt idx="1">
                  <c:v>Male</c:v>
                </c:pt>
              </c:strCache>
            </c:strRef>
          </c:cat>
          <c:val>
            <c:numRef>
              <c:f>'pivot '!$B$20:$B$22</c:f>
              <c:numCache>
                <c:formatCode>General</c:formatCode>
                <c:ptCount val="2"/>
                <c:pt idx="0">
                  <c:v>135</c:v>
                </c:pt>
                <c:pt idx="1">
                  <c:v>365</c:v>
                </c:pt>
              </c:numCache>
            </c:numRef>
          </c:val>
          <c:extLst>
            <c:ext xmlns:c16="http://schemas.microsoft.com/office/drawing/2014/chart" uri="{C3380CC4-5D6E-409C-BE32-E72D297353CC}">
              <c16:uniqueId val="{00000000-FD60-463A-833E-07C28CFBF18B}"/>
            </c:ext>
          </c:extLst>
        </c:ser>
        <c:ser>
          <c:idx val="1"/>
          <c:order val="1"/>
          <c:tx>
            <c:strRef>
              <c:f>'pivot '!$C$19</c:f>
              <c:strCache>
                <c:ptCount val="1"/>
                <c:pt idx="0">
                  <c:v>Sum of Bill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'!$A$20:$A$22</c:f>
              <c:strCache>
                <c:ptCount val="2"/>
                <c:pt idx="0">
                  <c:v>Female</c:v>
                </c:pt>
                <c:pt idx="1">
                  <c:v>Male</c:v>
                </c:pt>
              </c:strCache>
            </c:strRef>
          </c:cat>
          <c:val>
            <c:numRef>
              <c:f>'pivot '!$C$20:$C$22</c:f>
              <c:numCache>
                <c:formatCode>General</c:formatCode>
                <c:ptCount val="2"/>
                <c:pt idx="0">
                  <c:v>267480</c:v>
                </c:pt>
                <c:pt idx="1">
                  <c:v>722508</c:v>
                </c:pt>
              </c:numCache>
            </c:numRef>
          </c:val>
          <c:extLst>
            <c:ext xmlns:c16="http://schemas.microsoft.com/office/drawing/2014/chart" uri="{C3380CC4-5D6E-409C-BE32-E72D297353CC}">
              <c16:uniqueId val="{00000001-FD60-463A-833E-07C28CFBF18B}"/>
            </c:ext>
          </c:extLst>
        </c:ser>
        <c:dLbls>
          <c:dLblPos val="outEnd"/>
          <c:showLegendKey val="0"/>
          <c:showVal val="1"/>
          <c:showCatName val="0"/>
          <c:showSerName val="0"/>
          <c:showPercent val="0"/>
          <c:showBubbleSize val="0"/>
        </c:dLbls>
        <c:gapWidth val="182"/>
        <c:axId val="657525072"/>
        <c:axId val="70801968"/>
      </c:barChart>
      <c:catAx>
        <c:axId val="657525072"/>
        <c:scaling>
          <c:orientation val="minMax"/>
        </c:scaling>
        <c:delete val="1"/>
        <c:axPos val="l"/>
        <c:numFmt formatCode="General" sourceLinked="1"/>
        <c:majorTickMark val="none"/>
        <c:minorTickMark val="none"/>
        <c:tickLblPos val="nextTo"/>
        <c:crossAx val="70801968"/>
        <c:crosses val="autoZero"/>
        <c:auto val="1"/>
        <c:lblAlgn val="ctr"/>
        <c:lblOffset val="100"/>
        <c:noMultiLvlLbl val="0"/>
      </c:catAx>
      <c:valAx>
        <c:axId val="70801968"/>
        <c:scaling>
          <c:orientation val="minMax"/>
        </c:scaling>
        <c:delete val="1"/>
        <c:axPos val="b"/>
        <c:numFmt formatCode="General" sourceLinked="1"/>
        <c:majorTickMark val="none"/>
        <c:minorTickMark val="none"/>
        <c:tickLblPos val="nextTo"/>
        <c:crossAx val="65752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space!PivotTable9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space'!$H$54</c:f>
              <c:strCache>
                <c:ptCount val="1"/>
                <c:pt idx="0">
                  <c:v>Total</c:v>
                </c:pt>
              </c:strCache>
            </c:strRef>
          </c:tx>
          <c:spPr>
            <a:solidFill>
              <a:schemeClr val="accent1"/>
            </a:solidFill>
            <a:ln>
              <a:noFill/>
            </a:ln>
            <a:effectLst/>
            <a:sp3d/>
          </c:spPr>
          <c:invertIfNegative val="0"/>
          <c:cat>
            <c:strRef>
              <c:f>'pivot space'!$G$55:$G$57</c:f>
              <c:strCache>
                <c:ptCount val="2"/>
                <c:pt idx="0">
                  <c:v>Female</c:v>
                </c:pt>
                <c:pt idx="1">
                  <c:v>Male</c:v>
                </c:pt>
              </c:strCache>
            </c:strRef>
          </c:cat>
          <c:val>
            <c:numRef>
              <c:f>'pivot space'!$H$55:$H$57</c:f>
              <c:numCache>
                <c:formatCode>General</c:formatCode>
                <c:ptCount val="2"/>
                <c:pt idx="0">
                  <c:v>135</c:v>
                </c:pt>
                <c:pt idx="1">
                  <c:v>365</c:v>
                </c:pt>
              </c:numCache>
            </c:numRef>
          </c:val>
          <c:extLst>
            <c:ext xmlns:c16="http://schemas.microsoft.com/office/drawing/2014/chart" uri="{C3380CC4-5D6E-409C-BE32-E72D297353CC}">
              <c16:uniqueId val="{00000000-E297-4A51-8C9B-4EE4ABA0B66A}"/>
            </c:ext>
          </c:extLst>
        </c:ser>
        <c:dLbls>
          <c:showLegendKey val="0"/>
          <c:showVal val="0"/>
          <c:showCatName val="0"/>
          <c:showSerName val="0"/>
          <c:showPercent val="0"/>
          <c:showBubbleSize val="0"/>
        </c:dLbls>
        <c:gapWidth val="150"/>
        <c:shape val="box"/>
        <c:axId val="1286123951"/>
        <c:axId val="1250571759"/>
        <c:axId val="0"/>
      </c:bar3DChart>
      <c:catAx>
        <c:axId val="128612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71759"/>
        <c:crosses val="autoZero"/>
        <c:auto val="1"/>
        <c:lblAlgn val="ctr"/>
        <c:lblOffset val="100"/>
        <c:noMultiLvlLbl val="0"/>
      </c:catAx>
      <c:valAx>
        <c:axId val="1250571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[Harshit.xlsx]pivot space!PivotTable9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space'!$H$54</c:f>
              <c:strCache>
                <c:ptCount val="1"/>
                <c:pt idx="0">
                  <c:v>Total</c:v>
                </c:pt>
              </c:strCache>
            </c:strRef>
          </c:tx>
          <c:spPr>
            <a:solidFill>
              <a:schemeClr val="accent1"/>
            </a:solidFill>
            <a:ln>
              <a:noFill/>
            </a:ln>
            <a:effectLst/>
          </c:spPr>
          <c:invertIfNegative val="0"/>
          <c:cat>
            <c:strRef>
              <c:f>'pivot space'!$G$55:$G$57</c:f>
              <c:strCache>
                <c:ptCount val="2"/>
                <c:pt idx="0">
                  <c:v>Female</c:v>
                </c:pt>
                <c:pt idx="1">
                  <c:v>Male</c:v>
                </c:pt>
              </c:strCache>
            </c:strRef>
          </c:cat>
          <c:val>
            <c:numRef>
              <c:f>'pivot space'!$H$55:$H$57</c:f>
              <c:numCache>
                <c:formatCode>General</c:formatCode>
                <c:ptCount val="2"/>
                <c:pt idx="0">
                  <c:v>135</c:v>
                </c:pt>
                <c:pt idx="1">
                  <c:v>365</c:v>
                </c:pt>
              </c:numCache>
            </c:numRef>
          </c:val>
          <c:extLst>
            <c:ext xmlns:c16="http://schemas.microsoft.com/office/drawing/2014/chart" uri="{C3380CC4-5D6E-409C-BE32-E72D297353CC}">
              <c16:uniqueId val="{00000000-B95A-48B9-86A0-F0E22AEB1064}"/>
            </c:ext>
          </c:extLst>
        </c:ser>
        <c:dLbls>
          <c:showLegendKey val="0"/>
          <c:showVal val="0"/>
          <c:showCatName val="0"/>
          <c:showSerName val="0"/>
          <c:showPercent val="0"/>
          <c:showBubbleSize val="0"/>
        </c:dLbls>
        <c:gapWidth val="219"/>
        <c:overlap val="-27"/>
        <c:axId val="1286102143"/>
        <c:axId val="1250635119"/>
      </c:barChart>
      <c:catAx>
        <c:axId val="12861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35119"/>
        <c:crosses val="autoZero"/>
        <c:auto val="1"/>
        <c:lblAlgn val="ctr"/>
        <c:lblOffset val="100"/>
        <c:noMultiLvlLbl val="0"/>
      </c:catAx>
      <c:valAx>
        <c:axId val="12506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0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139700</xdr:colOff>
      <xdr:row>0</xdr:row>
      <xdr:rowOff>114300</xdr:rowOff>
    </xdr:from>
    <xdr:to>
      <xdr:col>23</xdr:col>
      <xdr:colOff>554900</xdr:colOff>
      <xdr:row>41</xdr:row>
      <xdr:rowOff>60500</xdr:rowOff>
    </xdr:to>
    <xdr:sp macro="" textlink="">
      <xdr:nvSpPr>
        <xdr:cNvPr id="3" name="Rectangle 2">
          <a:extLst>
            <a:ext uri="{FF2B5EF4-FFF2-40B4-BE49-F238E27FC236}">
              <a16:creationId xmlns:a16="http://schemas.microsoft.com/office/drawing/2014/main" id="{7C852A6B-0FF1-4138-8BE8-F6D8DA231636}"/>
            </a:ext>
          </a:extLst>
        </xdr:cNvPr>
        <xdr:cNvSpPr/>
      </xdr:nvSpPr>
      <xdr:spPr>
        <a:xfrm>
          <a:off x="139700" y="114300"/>
          <a:ext cx="14436000" cy="7236000"/>
        </a:xfrm>
        <a:prstGeom prst="rect">
          <a:avLst/>
        </a:prstGeom>
        <a:solidFill>
          <a:schemeClr val="accent4">
            <a:lumMod val="20000"/>
            <a:lumOff val="80000"/>
          </a:schemeClr>
        </a:solidFill>
        <a:ln w="127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143325</xdr:colOff>
      <xdr:row>0</xdr:row>
      <xdr:rowOff>132438</xdr:rowOff>
    </xdr:from>
    <xdr:to>
      <xdr:col>4</xdr:col>
      <xdr:colOff>80925</xdr:colOff>
      <xdr:row>41</xdr:row>
      <xdr:rowOff>78638</xdr:rowOff>
    </xdr:to>
    <xdr:sp macro="" textlink="">
      <xdr:nvSpPr>
        <xdr:cNvPr id="5" name="Rectangle 4">
          <a:extLst>
            <a:ext uri="{FF2B5EF4-FFF2-40B4-BE49-F238E27FC236}">
              <a16:creationId xmlns:a16="http://schemas.microsoft.com/office/drawing/2014/main" id="{26C0C1AF-DF27-4099-9E9D-567DBACC0BE6}"/>
            </a:ext>
          </a:extLst>
        </xdr:cNvPr>
        <xdr:cNvSpPr/>
      </xdr:nvSpPr>
      <xdr:spPr>
        <a:xfrm>
          <a:off x="143325" y="132438"/>
          <a:ext cx="2376000" cy="7236000"/>
        </a:xfrm>
        <a:prstGeom prst="rect">
          <a:avLst/>
        </a:prstGeom>
        <a:solidFill>
          <a:schemeClr val="accent2"/>
        </a:solidFill>
        <a:ln>
          <a:noFill/>
        </a:ln>
        <a:effectLst>
          <a:outerShdw blurRad="50800" dist="127000" dir="18900000" sx="101000" sy="101000" algn="bl" rotWithShape="0">
            <a:schemeClr val="accent2">
              <a:lumMod val="40000"/>
              <a:lumOff val="60000"/>
              <a:alpha val="3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143325</xdr:colOff>
      <xdr:row>0</xdr:row>
      <xdr:rowOff>132438</xdr:rowOff>
    </xdr:from>
    <xdr:to>
      <xdr:col>4</xdr:col>
      <xdr:colOff>80925</xdr:colOff>
      <xdr:row>4</xdr:row>
      <xdr:rowOff>171125</xdr:rowOff>
    </xdr:to>
    <xdr:pic>
      <xdr:nvPicPr>
        <xdr:cNvPr id="7" name="Picture 6">
          <a:extLst>
            <a:ext uri="{FF2B5EF4-FFF2-40B4-BE49-F238E27FC236}">
              <a16:creationId xmlns:a16="http://schemas.microsoft.com/office/drawing/2014/main" id="{FAD8E044-7AF1-4156-93D6-63C458B41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325" y="132438"/>
          <a:ext cx="2376000" cy="749887"/>
        </a:xfrm>
        <a:prstGeom prst="rect">
          <a:avLst/>
        </a:prstGeom>
      </xdr:spPr>
    </xdr:pic>
    <xdr:clientData/>
  </xdr:twoCellAnchor>
  <xdr:twoCellAnchor>
    <xdr:from>
      <xdr:col>4</xdr:col>
      <xdr:colOff>194125</xdr:colOff>
      <xdr:row>1</xdr:row>
      <xdr:rowOff>107038</xdr:rowOff>
    </xdr:from>
    <xdr:to>
      <xdr:col>9</xdr:col>
      <xdr:colOff>26125</xdr:colOff>
      <xdr:row>7</xdr:row>
      <xdr:rowOff>156238</xdr:rowOff>
    </xdr:to>
    <xdr:sp macro="" textlink="">
      <xdr:nvSpPr>
        <xdr:cNvPr id="9" name="Rectangle: Rounded Corners 8">
          <a:extLst>
            <a:ext uri="{FF2B5EF4-FFF2-40B4-BE49-F238E27FC236}">
              <a16:creationId xmlns:a16="http://schemas.microsoft.com/office/drawing/2014/main" id="{19D9F7DC-6145-4E27-BC73-77709801C7B9}"/>
            </a:ext>
          </a:extLst>
        </xdr:cNvPr>
        <xdr:cNvSpPr/>
      </xdr:nvSpPr>
      <xdr:spPr>
        <a:xfrm>
          <a:off x="2632525" y="284838"/>
          <a:ext cx="2880000" cy="11160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143325</xdr:colOff>
      <xdr:row>1</xdr:row>
      <xdr:rowOff>107038</xdr:rowOff>
    </xdr:from>
    <xdr:to>
      <xdr:col>13</xdr:col>
      <xdr:colOff>584925</xdr:colOff>
      <xdr:row>7</xdr:row>
      <xdr:rowOff>156238</xdr:rowOff>
    </xdr:to>
    <xdr:sp macro="" textlink="">
      <xdr:nvSpPr>
        <xdr:cNvPr id="11" name="Rectangle: Rounded Corners 10">
          <a:extLst>
            <a:ext uri="{FF2B5EF4-FFF2-40B4-BE49-F238E27FC236}">
              <a16:creationId xmlns:a16="http://schemas.microsoft.com/office/drawing/2014/main" id="{EDDA7E3E-A835-488E-A6D6-7FCD72007AEF}"/>
            </a:ext>
          </a:extLst>
        </xdr:cNvPr>
        <xdr:cNvSpPr/>
      </xdr:nvSpPr>
      <xdr:spPr>
        <a:xfrm>
          <a:off x="5629725" y="284838"/>
          <a:ext cx="2880000" cy="11160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92525</xdr:colOff>
      <xdr:row>1</xdr:row>
      <xdr:rowOff>107038</xdr:rowOff>
    </xdr:from>
    <xdr:to>
      <xdr:col>18</xdr:col>
      <xdr:colOff>534125</xdr:colOff>
      <xdr:row>7</xdr:row>
      <xdr:rowOff>156238</xdr:rowOff>
    </xdr:to>
    <xdr:sp macro="" textlink="">
      <xdr:nvSpPr>
        <xdr:cNvPr id="13" name="Rectangle: Rounded Corners 12">
          <a:extLst>
            <a:ext uri="{FF2B5EF4-FFF2-40B4-BE49-F238E27FC236}">
              <a16:creationId xmlns:a16="http://schemas.microsoft.com/office/drawing/2014/main" id="{8428E36E-31A5-4CD8-91EF-E6B23DC6DF66}"/>
            </a:ext>
          </a:extLst>
        </xdr:cNvPr>
        <xdr:cNvSpPr/>
      </xdr:nvSpPr>
      <xdr:spPr>
        <a:xfrm>
          <a:off x="8626925" y="284838"/>
          <a:ext cx="2880000" cy="11160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41725</xdr:colOff>
      <xdr:row>1</xdr:row>
      <xdr:rowOff>145138</xdr:rowOff>
    </xdr:from>
    <xdr:to>
      <xdr:col>23</xdr:col>
      <xdr:colOff>483325</xdr:colOff>
      <xdr:row>8</xdr:row>
      <xdr:rowOff>16538</xdr:rowOff>
    </xdr:to>
    <xdr:sp macro="" textlink="">
      <xdr:nvSpPr>
        <xdr:cNvPr id="15" name="Rectangle: Rounded Corners 14">
          <a:extLst>
            <a:ext uri="{FF2B5EF4-FFF2-40B4-BE49-F238E27FC236}">
              <a16:creationId xmlns:a16="http://schemas.microsoft.com/office/drawing/2014/main" id="{77BDD651-CA23-4074-916A-8BD5E41905E8}"/>
            </a:ext>
          </a:extLst>
        </xdr:cNvPr>
        <xdr:cNvSpPr/>
      </xdr:nvSpPr>
      <xdr:spPr>
        <a:xfrm>
          <a:off x="11624125" y="322938"/>
          <a:ext cx="2880000" cy="11160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143325</xdr:colOff>
      <xdr:row>1</xdr:row>
      <xdr:rowOff>107038</xdr:rowOff>
    </xdr:from>
    <xdr:to>
      <xdr:col>7</xdr:col>
      <xdr:colOff>524325</xdr:colOff>
      <xdr:row>3</xdr:row>
      <xdr:rowOff>68938</xdr:rowOff>
    </xdr:to>
    <xdr:sp macro="" textlink="">
      <xdr:nvSpPr>
        <xdr:cNvPr id="17" name="Rectangle 16">
          <a:extLst>
            <a:ext uri="{FF2B5EF4-FFF2-40B4-BE49-F238E27FC236}">
              <a16:creationId xmlns:a16="http://schemas.microsoft.com/office/drawing/2014/main" id="{93D946B3-54FF-42B2-9937-01262650F3C2}"/>
            </a:ext>
          </a:extLst>
        </xdr:cNvPr>
        <xdr:cNvSpPr/>
      </xdr:nvSpPr>
      <xdr:spPr>
        <a:xfrm>
          <a:off x="3191325" y="284838"/>
          <a:ext cx="1600200" cy="317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85000"/>
                  <a:lumOff val="15000"/>
                </a:schemeClr>
              </a:solidFill>
            </a:rPr>
            <a:t>Total Sales</a:t>
          </a:r>
        </a:p>
      </xdr:txBody>
    </xdr:sp>
    <xdr:clientData/>
  </xdr:twoCellAnchor>
  <xdr:twoCellAnchor editAs="oneCell">
    <xdr:from>
      <xdr:col>8</xdr:col>
      <xdr:colOff>29025</xdr:colOff>
      <xdr:row>1</xdr:row>
      <xdr:rowOff>94338</xdr:rowOff>
    </xdr:from>
    <xdr:to>
      <xdr:col>8</xdr:col>
      <xdr:colOff>486225</xdr:colOff>
      <xdr:row>4</xdr:row>
      <xdr:rowOff>18138</xdr:rowOff>
    </xdr:to>
    <xdr:pic>
      <xdr:nvPicPr>
        <xdr:cNvPr id="19" name="Graphic 18" descr="Money with solid fill">
          <a:extLst>
            <a:ext uri="{FF2B5EF4-FFF2-40B4-BE49-F238E27FC236}">
              <a16:creationId xmlns:a16="http://schemas.microsoft.com/office/drawing/2014/main" id="{7E2184E5-6044-46EF-9833-E9498D2DE2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05825" y="272138"/>
          <a:ext cx="457200" cy="457200"/>
        </a:xfrm>
        <a:prstGeom prst="rect">
          <a:avLst/>
        </a:prstGeom>
      </xdr:spPr>
    </xdr:pic>
    <xdr:clientData/>
  </xdr:twoCellAnchor>
  <xdr:twoCellAnchor>
    <xdr:from>
      <xdr:col>10</xdr:col>
      <xdr:colOff>29025</xdr:colOff>
      <xdr:row>1</xdr:row>
      <xdr:rowOff>107038</xdr:rowOff>
    </xdr:from>
    <xdr:to>
      <xdr:col>12</xdr:col>
      <xdr:colOff>410025</xdr:colOff>
      <xdr:row>3</xdr:row>
      <xdr:rowOff>68938</xdr:rowOff>
    </xdr:to>
    <xdr:sp macro="" textlink="">
      <xdr:nvSpPr>
        <xdr:cNvPr id="21" name="Rectangle 20">
          <a:extLst>
            <a:ext uri="{FF2B5EF4-FFF2-40B4-BE49-F238E27FC236}">
              <a16:creationId xmlns:a16="http://schemas.microsoft.com/office/drawing/2014/main" id="{31ACAFF8-2CE6-44D7-B342-B96154166B57}"/>
            </a:ext>
          </a:extLst>
        </xdr:cNvPr>
        <xdr:cNvSpPr/>
      </xdr:nvSpPr>
      <xdr:spPr>
        <a:xfrm>
          <a:off x="6125025" y="284838"/>
          <a:ext cx="1600200" cy="317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85000"/>
                  <a:lumOff val="15000"/>
                </a:schemeClr>
              </a:solidFill>
            </a:rPr>
            <a:t>Average Rating</a:t>
          </a:r>
        </a:p>
      </xdr:txBody>
    </xdr:sp>
    <xdr:clientData/>
  </xdr:twoCellAnchor>
  <xdr:twoCellAnchor editAs="oneCell">
    <xdr:from>
      <xdr:col>13</xdr:col>
      <xdr:colOff>117925</xdr:colOff>
      <xdr:row>1</xdr:row>
      <xdr:rowOff>145138</xdr:rowOff>
    </xdr:from>
    <xdr:to>
      <xdr:col>13</xdr:col>
      <xdr:colOff>486225</xdr:colOff>
      <xdr:row>3</xdr:row>
      <xdr:rowOff>157838</xdr:rowOff>
    </xdr:to>
    <xdr:pic>
      <xdr:nvPicPr>
        <xdr:cNvPr id="23" name="Graphic 22" descr="Star with solid fill">
          <a:extLst>
            <a:ext uri="{FF2B5EF4-FFF2-40B4-BE49-F238E27FC236}">
              <a16:creationId xmlns:a16="http://schemas.microsoft.com/office/drawing/2014/main" id="{2519FB38-231C-4019-AE00-5D97EFBB776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042725" y="322938"/>
          <a:ext cx="368300" cy="368300"/>
        </a:xfrm>
        <a:prstGeom prst="rect">
          <a:avLst/>
        </a:prstGeom>
      </xdr:spPr>
    </xdr:pic>
    <xdr:clientData/>
  </xdr:twoCellAnchor>
  <xdr:twoCellAnchor>
    <xdr:from>
      <xdr:col>14</xdr:col>
      <xdr:colOff>587825</xdr:colOff>
      <xdr:row>1</xdr:row>
      <xdr:rowOff>107038</xdr:rowOff>
    </xdr:from>
    <xdr:to>
      <xdr:col>17</xdr:col>
      <xdr:colOff>359225</xdr:colOff>
      <xdr:row>3</xdr:row>
      <xdr:rowOff>68938</xdr:rowOff>
    </xdr:to>
    <xdr:sp macro="" textlink="">
      <xdr:nvSpPr>
        <xdr:cNvPr id="25" name="Rectangle 24">
          <a:extLst>
            <a:ext uri="{FF2B5EF4-FFF2-40B4-BE49-F238E27FC236}">
              <a16:creationId xmlns:a16="http://schemas.microsoft.com/office/drawing/2014/main" id="{01DF9905-4856-45FD-9303-B27D7A176B97}"/>
            </a:ext>
          </a:extLst>
        </xdr:cNvPr>
        <xdr:cNvSpPr/>
      </xdr:nvSpPr>
      <xdr:spPr>
        <a:xfrm>
          <a:off x="9122225" y="284838"/>
          <a:ext cx="1600200" cy="317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85000"/>
                  <a:lumOff val="15000"/>
                </a:schemeClr>
              </a:solidFill>
            </a:rPr>
            <a:t>Rating Count</a:t>
          </a:r>
        </a:p>
      </xdr:txBody>
    </xdr:sp>
    <xdr:clientData/>
  </xdr:twoCellAnchor>
  <xdr:twoCellAnchor editAs="oneCell">
    <xdr:from>
      <xdr:col>18</xdr:col>
      <xdr:colOff>41725</xdr:colOff>
      <xdr:row>1</xdr:row>
      <xdr:rowOff>119738</xdr:rowOff>
    </xdr:from>
    <xdr:to>
      <xdr:col>18</xdr:col>
      <xdr:colOff>410025</xdr:colOff>
      <xdr:row>3</xdr:row>
      <xdr:rowOff>132438</xdr:rowOff>
    </xdr:to>
    <xdr:pic>
      <xdr:nvPicPr>
        <xdr:cNvPr id="29" name="Graphic 28" descr="Stars with solid fill">
          <a:extLst>
            <a:ext uri="{FF2B5EF4-FFF2-40B4-BE49-F238E27FC236}">
              <a16:creationId xmlns:a16="http://schemas.microsoft.com/office/drawing/2014/main" id="{1B7B227F-31CF-4DD7-86F3-5F359D7E1D5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14525" y="297538"/>
          <a:ext cx="368300" cy="368300"/>
        </a:xfrm>
        <a:prstGeom prst="rect">
          <a:avLst/>
        </a:prstGeom>
      </xdr:spPr>
    </xdr:pic>
    <xdr:clientData/>
  </xdr:twoCellAnchor>
  <xdr:twoCellAnchor>
    <xdr:from>
      <xdr:col>19</xdr:col>
      <xdr:colOff>511625</xdr:colOff>
      <xdr:row>1</xdr:row>
      <xdr:rowOff>107038</xdr:rowOff>
    </xdr:from>
    <xdr:to>
      <xdr:col>22</xdr:col>
      <xdr:colOff>470622</xdr:colOff>
      <xdr:row>3</xdr:row>
      <xdr:rowOff>175619</xdr:rowOff>
    </xdr:to>
    <xdr:sp macro="" textlink="">
      <xdr:nvSpPr>
        <xdr:cNvPr id="31" name="Rectangle 30">
          <a:extLst>
            <a:ext uri="{FF2B5EF4-FFF2-40B4-BE49-F238E27FC236}">
              <a16:creationId xmlns:a16="http://schemas.microsoft.com/office/drawing/2014/main" id="{97B3BA96-9A9B-41A0-9EA6-6D7F73DEE7A2}"/>
            </a:ext>
          </a:extLst>
        </xdr:cNvPr>
        <xdr:cNvSpPr/>
      </xdr:nvSpPr>
      <xdr:spPr>
        <a:xfrm>
          <a:off x="12094025" y="284838"/>
          <a:ext cx="1787797" cy="4241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85000"/>
                  <a:lumOff val="15000"/>
                </a:schemeClr>
              </a:solidFill>
            </a:rPr>
            <a:t>Total Newspaper</a:t>
          </a:r>
        </a:p>
      </xdr:txBody>
    </xdr:sp>
    <xdr:clientData/>
  </xdr:twoCellAnchor>
  <xdr:twoCellAnchor editAs="oneCell">
    <xdr:from>
      <xdr:col>22</xdr:col>
      <xdr:colOff>511625</xdr:colOff>
      <xdr:row>1</xdr:row>
      <xdr:rowOff>170538</xdr:rowOff>
    </xdr:from>
    <xdr:to>
      <xdr:col>23</xdr:col>
      <xdr:colOff>371925</xdr:colOff>
      <xdr:row>4</xdr:row>
      <xdr:rowOff>107038</xdr:rowOff>
    </xdr:to>
    <xdr:pic>
      <xdr:nvPicPr>
        <xdr:cNvPr id="33" name="Graphic 32" descr="Newspaper with solid fill">
          <a:extLst>
            <a:ext uri="{FF2B5EF4-FFF2-40B4-BE49-F238E27FC236}">
              <a16:creationId xmlns:a16="http://schemas.microsoft.com/office/drawing/2014/main" id="{7F29D613-00F0-4B2A-830A-56C8D1BCCF8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22825" y="348338"/>
          <a:ext cx="469900" cy="469900"/>
        </a:xfrm>
        <a:prstGeom prst="rect">
          <a:avLst/>
        </a:prstGeom>
      </xdr:spPr>
    </xdr:pic>
    <xdr:clientData/>
  </xdr:twoCellAnchor>
  <xdr:twoCellAnchor>
    <xdr:from>
      <xdr:col>4</xdr:col>
      <xdr:colOff>549725</xdr:colOff>
      <xdr:row>2</xdr:row>
      <xdr:rowOff>132438</xdr:rowOff>
    </xdr:from>
    <xdr:to>
      <xdr:col>8</xdr:col>
      <xdr:colOff>105225</xdr:colOff>
      <xdr:row>7</xdr:row>
      <xdr:rowOff>170538</xdr:rowOff>
    </xdr:to>
    <xdr:sp macro="" textlink="'pivot space'!A7">
      <xdr:nvSpPr>
        <xdr:cNvPr id="35" name="TextBox 34">
          <a:extLst>
            <a:ext uri="{FF2B5EF4-FFF2-40B4-BE49-F238E27FC236}">
              <a16:creationId xmlns:a16="http://schemas.microsoft.com/office/drawing/2014/main" id="{243485B5-B908-4811-88CA-A2B9247B8443}"/>
            </a:ext>
          </a:extLst>
        </xdr:cNvPr>
        <xdr:cNvSpPr txBox="1"/>
      </xdr:nvSpPr>
      <xdr:spPr>
        <a:xfrm>
          <a:off x="2988125" y="488038"/>
          <a:ext cx="1993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3C8DE1-17D8-4FAE-BB79-7565A2655746}" type="TxLink">
            <a:rPr lang="en-US" sz="2000" b="0" i="0" u="none" strike="noStrike"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cs typeface="Calibri"/>
            </a:rPr>
            <a:pPr algn="ctr"/>
            <a:t>₹ 989.99K</a:t>
          </a:fld>
          <a:endParaRPr lang="en-US" sz="14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endParaRPr>
        </a:p>
      </xdr:txBody>
    </xdr:sp>
    <xdr:clientData/>
  </xdr:twoCellAnchor>
  <xdr:twoCellAnchor>
    <xdr:from>
      <xdr:col>9</xdr:col>
      <xdr:colOff>460825</xdr:colOff>
      <xdr:row>2</xdr:row>
      <xdr:rowOff>119738</xdr:rowOff>
    </xdr:from>
    <xdr:to>
      <xdr:col>13</xdr:col>
      <xdr:colOff>16325</xdr:colOff>
      <xdr:row>7</xdr:row>
      <xdr:rowOff>157838</xdr:rowOff>
    </xdr:to>
    <xdr:sp macro="" textlink="'pivot space'!B7">
      <xdr:nvSpPr>
        <xdr:cNvPr id="37" name="TextBox 36">
          <a:extLst>
            <a:ext uri="{FF2B5EF4-FFF2-40B4-BE49-F238E27FC236}">
              <a16:creationId xmlns:a16="http://schemas.microsoft.com/office/drawing/2014/main" id="{093223C6-A4B5-4EDC-A52B-2CF419B5EE55}"/>
            </a:ext>
          </a:extLst>
        </xdr:cNvPr>
        <xdr:cNvSpPr txBox="1"/>
      </xdr:nvSpPr>
      <xdr:spPr>
        <a:xfrm>
          <a:off x="5947225" y="475338"/>
          <a:ext cx="1993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0BEC89-1191-4F1B-BFDD-D68AEB2D908C}"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cs typeface="Calibri"/>
            </a:rPr>
            <a:pPr algn="ctr"/>
            <a:t>4.02</a:t>
          </a:fld>
          <a:endParaRPr lang="en-US" sz="14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endParaRPr>
        </a:p>
      </xdr:txBody>
    </xdr:sp>
    <xdr:clientData/>
  </xdr:twoCellAnchor>
  <xdr:twoCellAnchor>
    <xdr:from>
      <xdr:col>14</xdr:col>
      <xdr:colOff>384625</xdr:colOff>
      <xdr:row>2</xdr:row>
      <xdr:rowOff>119738</xdr:rowOff>
    </xdr:from>
    <xdr:to>
      <xdr:col>17</xdr:col>
      <xdr:colOff>549725</xdr:colOff>
      <xdr:row>7</xdr:row>
      <xdr:rowOff>157838</xdr:rowOff>
    </xdr:to>
    <xdr:sp macro="" textlink="'pivot space'!C7">
      <xdr:nvSpPr>
        <xdr:cNvPr id="39" name="TextBox 38">
          <a:extLst>
            <a:ext uri="{FF2B5EF4-FFF2-40B4-BE49-F238E27FC236}">
              <a16:creationId xmlns:a16="http://schemas.microsoft.com/office/drawing/2014/main" id="{8465EA17-8517-4CA6-B4F9-82F43334E5DE}"/>
            </a:ext>
          </a:extLst>
        </xdr:cNvPr>
        <xdr:cNvSpPr txBox="1"/>
      </xdr:nvSpPr>
      <xdr:spPr>
        <a:xfrm>
          <a:off x="8919025" y="475338"/>
          <a:ext cx="1993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C71C28-91C1-4D9B-ADD5-8058C972E625}"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cs typeface="Calibri"/>
            </a:rPr>
            <a:pPr algn="ctr"/>
            <a:t>2.01K</a:t>
          </a:fld>
          <a:endParaRPr lang="en-US" sz="14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endParaRPr>
        </a:p>
      </xdr:txBody>
    </xdr:sp>
    <xdr:clientData/>
  </xdr:twoCellAnchor>
  <xdr:twoCellAnchor>
    <xdr:from>
      <xdr:col>19</xdr:col>
      <xdr:colOff>359225</xdr:colOff>
      <xdr:row>2</xdr:row>
      <xdr:rowOff>145138</xdr:rowOff>
    </xdr:from>
    <xdr:to>
      <xdr:col>22</xdr:col>
      <xdr:colOff>524325</xdr:colOff>
      <xdr:row>8</xdr:row>
      <xdr:rowOff>5438</xdr:rowOff>
    </xdr:to>
    <xdr:sp macro="" textlink="'pivot space'!D7">
      <xdr:nvSpPr>
        <xdr:cNvPr id="41" name="TextBox 40">
          <a:extLst>
            <a:ext uri="{FF2B5EF4-FFF2-40B4-BE49-F238E27FC236}">
              <a16:creationId xmlns:a16="http://schemas.microsoft.com/office/drawing/2014/main" id="{374BED3D-6249-44A2-9E17-339B802C8F93}"/>
            </a:ext>
          </a:extLst>
        </xdr:cNvPr>
        <xdr:cNvSpPr txBox="1"/>
      </xdr:nvSpPr>
      <xdr:spPr>
        <a:xfrm>
          <a:off x="11941625" y="500738"/>
          <a:ext cx="1993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987AB9-3140-4842-BF0F-A8435794A9E7}"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cs typeface="Calibri"/>
            </a:rPr>
            <a:pPr algn="ctr"/>
            <a:t>165.00K</a:t>
          </a:fld>
          <a:endParaRPr lang="en-US" sz="20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130625</xdr:colOff>
      <xdr:row>4</xdr:row>
      <xdr:rowOff>145138</xdr:rowOff>
    </xdr:from>
    <xdr:to>
      <xdr:col>4</xdr:col>
      <xdr:colOff>68225</xdr:colOff>
      <xdr:row>13</xdr:row>
      <xdr:rowOff>56938</xdr:rowOff>
    </xdr:to>
    <mc:AlternateContent xmlns:mc="http://schemas.openxmlformats.org/markup-compatibility/2006" xmlns:a14="http://schemas.microsoft.com/office/drawing/2010/main">
      <mc:Choice Requires="a14">
        <xdr:graphicFrame macro="">
          <xdr:nvGraphicFramePr>
            <xdr:cNvPr id="45" name="City 1">
              <a:extLst>
                <a:ext uri="{FF2B5EF4-FFF2-40B4-BE49-F238E27FC236}">
                  <a16:creationId xmlns:a16="http://schemas.microsoft.com/office/drawing/2014/main" id="{682C8452-4010-4462-AE60-5E420E4194C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0625" y="856338"/>
              <a:ext cx="2376000" cy="151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13</xdr:row>
      <xdr:rowOff>25400</xdr:rowOff>
    </xdr:from>
    <xdr:to>
      <xdr:col>4</xdr:col>
      <xdr:colOff>64600</xdr:colOff>
      <xdr:row>21</xdr:row>
      <xdr:rowOff>7000</xdr:rowOff>
    </xdr:to>
    <mc:AlternateContent xmlns:mc="http://schemas.openxmlformats.org/markup-compatibility/2006" xmlns:a14="http://schemas.microsoft.com/office/drawing/2010/main">
      <mc:Choice Requires="a14">
        <xdr:graphicFrame macro="">
          <xdr:nvGraphicFramePr>
            <xdr:cNvPr id="47" name="Month of Joining">
              <a:extLst>
                <a:ext uri="{FF2B5EF4-FFF2-40B4-BE49-F238E27FC236}">
                  <a16:creationId xmlns:a16="http://schemas.microsoft.com/office/drawing/2014/main" id="{914F3805-AFBF-40FC-9F4A-A42DE581A430}"/>
                </a:ext>
              </a:extLst>
            </xdr:cNvPr>
            <xdr:cNvGraphicFramePr/>
          </xdr:nvGraphicFramePr>
          <xdr:xfrm>
            <a:off x="0" y="0"/>
            <a:ext cx="0" cy="0"/>
          </xdr:xfrm>
          <a:graphic>
            <a:graphicData uri="http://schemas.microsoft.com/office/drawing/2010/slicer">
              <sle:slicer xmlns:sle="http://schemas.microsoft.com/office/drawing/2010/slicer" name="Month of Joining"/>
            </a:graphicData>
          </a:graphic>
        </xdr:graphicFrame>
      </mc:Choice>
      <mc:Fallback xmlns="">
        <xdr:sp macro="" textlink="">
          <xdr:nvSpPr>
            <xdr:cNvPr id="0" name=""/>
            <xdr:cNvSpPr>
              <a:spLocks noTextEdit="1"/>
            </xdr:cNvSpPr>
          </xdr:nvSpPr>
          <xdr:spPr>
            <a:xfrm>
              <a:off x="127000" y="2336800"/>
              <a:ext cx="2376000" cy="140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130625</xdr:colOff>
      <xdr:row>35</xdr:row>
      <xdr:rowOff>56238</xdr:rowOff>
    </xdr:from>
    <xdr:to>
      <xdr:col>4</xdr:col>
      <xdr:colOff>68225</xdr:colOff>
      <xdr:row>41</xdr:row>
      <xdr:rowOff>69438</xdr:rowOff>
    </xdr:to>
    <mc:AlternateContent xmlns:mc="http://schemas.openxmlformats.org/markup-compatibility/2006" xmlns:a14="http://schemas.microsoft.com/office/drawing/2010/main">
      <mc:Choice Requires="a14">
        <xdr:graphicFrame macro="">
          <xdr:nvGraphicFramePr>
            <xdr:cNvPr id="51" name="Gender 2">
              <a:extLst>
                <a:ext uri="{FF2B5EF4-FFF2-40B4-BE49-F238E27FC236}">
                  <a16:creationId xmlns:a16="http://schemas.microsoft.com/office/drawing/2014/main" id="{8C2F7461-88B7-4579-806C-535C00A657F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0625" y="6279238"/>
              <a:ext cx="2376000" cy="108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20</xdr:row>
      <xdr:rowOff>165100</xdr:rowOff>
    </xdr:from>
    <xdr:to>
      <xdr:col>4</xdr:col>
      <xdr:colOff>64600</xdr:colOff>
      <xdr:row>29</xdr:row>
      <xdr:rowOff>20320</xdr:rowOff>
    </xdr:to>
    <mc:AlternateContent xmlns:mc="http://schemas.openxmlformats.org/markup-compatibility/2006" xmlns:a14="http://schemas.microsoft.com/office/drawing/2010/main">
      <mc:Choice Requires="a14">
        <xdr:graphicFrame macro="">
          <xdr:nvGraphicFramePr>
            <xdr:cNvPr id="53" name="Age Group">
              <a:extLst>
                <a:ext uri="{FF2B5EF4-FFF2-40B4-BE49-F238E27FC236}">
                  <a16:creationId xmlns:a16="http://schemas.microsoft.com/office/drawing/2014/main" id="{CE9C88C5-0BB6-48E1-8F2D-C94C1D900F4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7000" y="3721100"/>
              <a:ext cx="23760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215900</xdr:colOff>
      <xdr:row>9</xdr:row>
      <xdr:rowOff>127000</xdr:rowOff>
    </xdr:from>
    <xdr:to>
      <xdr:col>12</xdr:col>
      <xdr:colOff>596900</xdr:colOff>
      <xdr:row>25</xdr:row>
      <xdr:rowOff>0</xdr:rowOff>
    </xdr:to>
    <xdr:sp macro="" textlink="">
      <xdr:nvSpPr>
        <xdr:cNvPr id="55" name="Rectangle: Rounded Corners 54">
          <a:extLst>
            <a:ext uri="{FF2B5EF4-FFF2-40B4-BE49-F238E27FC236}">
              <a16:creationId xmlns:a16="http://schemas.microsoft.com/office/drawing/2014/main" id="{51B05CA4-B107-468B-AC3E-8BDAEEDC4CDF}"/>
            </a:ext>
          </a:extLst>
        </xdr:cNvPr>
        <xdr:cNvSpPr/>
      </xdr:nvSpPr>
      <xdr:spPr>
        <a:xfrm>
          <a:off x="2654300" y="1727200"/>
          <a:ext cx="5257800" cy="27178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482600</xdr:colOff>
      <xdr:row>10</xdr:row>
      <xdr:rowOff>25400</xdr:rowOff>
    </xdr:from>
    <xdr:to>
      <xdr:col>12</xdr:col>
      <xdr:colOff>285800</xdr:colOff>
      <xdr:row>24</xdr:row>
      <xdr:rowOff>92200</xdr:rowOff>
    </xdr:to>
    <xdr:graphicFrame macro="">
      <xdr:nvGraphicFramePr>
        <xdr:cNvPr id="57" name="Chart 56">
          <a:extLst>
            <a:ext uri="{FF2B5EF4-FFF2-40B4-BE49-F238E27FC236}">
              <a16:creationId xmlns:a16="http://schemas.microsoft.com/office/drawing/2014/main" id="{DDFD87EB-23CE-4175-8BFC-A6EC6E2BF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241300</xdr:colOff>
      <xdr:row>9</xdr:row>
      <xdr:rowOff>139700</xdr:rowOff>
    </xdr:from>
    <xdr:to>
      <xdr:col>20</xdr:col>
      <xdr:colOff>254000</xdr:colOff>
      <xdr:row>25</xdr:row>
      <xdr:rowOff>25400</xdr:rowOff>
    </xdr:to>
    <xdr:sp macro="" textlink="">
      <xdr:nvSpPr>
        <xdr:cNvPr id="59" name="Rectangle: Rounded Corners 58">
          <a:extLst>
            <a:ext uri="{FF2B5EF4-FFF2-40B4-BE49-F238E27FC236}">
              <a16:creationId xmlns:a16="http://schemas.microsoft.com/office/drawing/2014/main" id="{C4C1B715-2A04-42FE-AAF6-68C320F1B058}"/>
            </a:ext>
          </a:extLst>
        </xdr:cNvPr>
        <xdr:cNvSpPr/>
      </xdr:nvSpPr>
      <xdr:spPr>
        <a:xfrm>
          <a:off x="8166100" y="1739900"/>
          <a:ext cx="4279900" cy="27305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355600</xdr:colOff>
      <xdr:row>10</xdr:row>
      <xdr:rowOff>165100</xdr:rowOff>
    </xdr:from>
    <xdr:to>
      <xdr:col>20</xdr:col>
      <xdr:colOff>101600</xdr:colOff>
      <xdr:row>23</xdr:row>
      <xdr:rowOff>139700</xdr:rowOff>
    </xdr:to>
    <xdr:graphicFrame macro="">
      <xdr:nvGraphicFramePr>
        <xdr:cNvPr id="61" name="Chart 60">
          <a:extLst>
            <a:ext uri="{FF2B5EF4-FFF2-40B4-BE49-F238E27FC236}">
              <a16:creationId xmlns:a16="http://schemas.microsoft.com/office/drawing/2014/main" id="{30EDCEB7-8571-49D6-8CB2-865E8C370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127000</xdr:colOff>
      <xdr:row>29</xdr:row>
      <xdr:rowOff>12699</xdr:rowOff>
    </xdr:from>
    <xdr:to>
      <xdr:col>4</xdr:col>
      <xdr:colOff>64600</xdr:colOff>
      <xdr:row>35</xdr:row>
      <xdr:rowOff>61899</xdr:rowOff>
    </xdr:to>
    <mc:AlternateContent xmlns:mc="http://schemas.openxmlformats.org/markup-compatibility/2006" xmlns:a14="http://schemas.microsoft.com/office/drawing/2010/main">
      <mc:Choice Requires="a14">
        <xdr:graphicFrame macro="">
          <xdr:nvGraphicFramePr>
            <xdr:cNvPr id="63" name="Payment Mode 2">
              <a:extLst>
                <a:ext uri="{FF2B5EF4-FFF2-40B4-BE49-F238E27FC236}">
                  <a16:creationId xmlns:a16="http://schemas.microsoft.com/office/drawing/2014/main" id="{57659C58-1E85-481C-92D2-720C03C5F822}"/>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127000" y="5168899"/>
              <a:ext cx="237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533400</xdr:colOff>
      <xdr:row>9</xdr:row>
      <xdr:rowOff>152400</xdr:rowOff>
    </xdr:from>
    <xdr:to>
      <xdr:col>23</xdr:col>
      <xdr:colOff>381000</xdr:colOff>
      <xdr:row>39</xdr:row>
      <xdr:rowOff>139700</xdr:rowOff>
    </xdr:to>
    <xdr:sp macro="" textlink="">
      <xdr:nvSpPr>
        <xdr:cNvPr id="65" name="Rectangle: Rounded Corners 64">
          <a:extLst>
            <a:ext uri="{FF2B5EF4-FFF2-40B4-BE49-F238E27FC236}">
              <a16:creationId xmlns:a16="http://schemas.microsoft.com/office/drawing/2014/main" id="{282AADB2-AAC2-44D9-AC72-D3488A6852CC}"/>
            </a:ext>
          </a:extLst>
        </xdr:cNvPr>
        <xdr:cNvSpPr/>
      </xdr:nvSpPr>
      <xdr:spPr>
        <a:xfrm>
          <a:off x="12725400" y="1752600"/>
          <a:ext cx="1676400" cy="53213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584200</xdr:colOff>
      <xdr:row>10</xdr:row>
      <xdr:rowOff>63500</xdr:rowOff>
    </xdr:from>
    <xdr:to>
      <xdr:col>23</xdr:col>
      <xdr:colOff>363220</xdr:colOff>
      <xdr:row>38</xdr:row>
      <xdr:rowOff>25400</xdr:rowOff>
    </xdr:to>
    <xdr:graphicFrame macro="">
      <xdr:nvGraphicFramePr>
        <xdr:cNvPr id="69" name="Chart 68">
          <a:extLst>
            <a:ext uri="{FF2B5EF4-FFF2-40B4-BE49-F238E27FC236}">
              <a16:creationId xmlns:a16="http://schemas.microsoft.com/office/drawing/2014/main" id="{3016C608-59DA-45C4-AD68-E4BE31C0F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228600</xdr:colOff>
      <xdr:row>27</xdr:row>
      <xdr:rowOff>88900</xdr:rowOff>
    </xdr:from>
    <xdr:to>
      <xdr:col>20</xdr:col>
      <xdr:colOff>279400</xdr:colOff>
      <xdr:row>40</xdr:row>
      <xdr:rowOff>25400</xdr:rowOff>
    </xdr:to>
    <xdr:sp macro="" textlink="">
      <xdr:nvSpPr>
        <xdr:cNvPr id="71" name="Rectangle: Rounded Corners 70">
          <a:extLst>
            <a:ext uri="{FF2B5EF4-FFF2-40B4-BE49-F238E27FC236}">
              <a16:creationId xmlns:a16="http://schemas.microsoft.com/office/drawing/2014/main" id="{FDA41E4E-E4E7-4237-A5BD-F43B6402E2C1}"/>
            </a:ext>
          </a:extLst>
        </xdr:cNvPr>
        <xdr:cNvSpPr/>
      </xdr:nvSpPr>
      <xdr:spPr>
        <a:xfrm>
          <a:off x="2667000" y="4889500"/>
          <a:ext cx="9804400" cy="2247900"/>
        </a:xfrm>
        <a:prstGeom prst="roundRect">
          <a:avLst/>
        </a:prstGeom>
        <a:solidFill>
          <a:schemeClr val="bg1"/>
        </a:solidFill>
        <a:ln>
          <a:noFill/>
        </a:ln>
        <a:effectLst>
          <a:outerShdw blurRad="50800" dist="50800" dir="4800000" sx="104000" sy="104000" algn="t" rotWithShape="0">
            <a:schemeClr val="accent2">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28</xdr:row>
      <xdr:rowOff>0</xdr:rowOff>
    </xdr:from>
    <xdr:to>
      <xdr:col>20</xdr:col>
      <xdr:colOff>38100</xdr:colOff>
      <xdr:row>39</xdr:row>
      <xdr:rowOff>101600</xdr:rowOff>
    </xdr:to>
    <xdr:graphicFrame macro="">
      <xdr:nvGraphicFramePr>
        <xdr:cNvPr id="73" name="Chart 72">
          <a:extLst>
            <a:ext uri="{FF2B5EF4-FFF2-40B4-BE49-F238E27FC236}">
              <a16:creationId xmlns:a16="http://schemas.microsoft.com/office/drawing/2014/main" id="{93386F73-A362-44CB-B09A-CB34457BE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815340</xdr:colOff>
      <xdr:row>39</xdr:row>
      <xdr:rowOff>129540</xdr:rowOff>
    </xdr:from>
    <xdr:to>
      <xdr:col>11</xdr:col>
      <xdr:colOff>213360</xdr:colOff>
      <xdr:row>48</xdr:row>
      <xdr:rowOff>175260</xdr:rowOff>
    </xdr:to>
    <xdr:graphicFrame macro="">
      <xdr:nvGraphicFramePr>
        <xdr:cNvPr id="8" name="Chart 7">
          <a:extLst>
            <a:ext uri="{FF2B5EF4-FFF2-40B4-BE49-F238E27FC236}">
              <a16:creationId xmlns:a16="http://schemas.microsoft.com/office/drawing/2014/main" id="{A28F98BB-1F41-3D08-D844-70DC8C9A9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259080</xdr:colOff>
      <xdr:row>49</xdr:row>
      <xdr:rowOff>83820</xdr:rowOff>
    </xdr:from>
    <xdr:to>
      <xdr:col>10</xdr:col>
      <xdr:colOff>655320</xdr:colOff>
      <xdr:row>62</xdr:row>
      <xdr:rowOff>173355</xdr:rowOff>
    </xdr:to>
    <mc:AlternateContent xmlns:mc="http://schemas.openxmlformats.org/markup-compatibility/2006" xmlns:a14="http://schemas.microsoft.com/office/drawing/2010/main">
      <mc:Choice Requires="a14">
        <xdr:graphicFrame macro="">
          <xdr:nvGraphicFramePr>
            <xdr:cNvPr id="11" name="City 2">
              <a:extLst>
                <a:ext uri="{FF2B5EF4-FFF2-40B4-BE49-F238E27FC236}">
                  <a16:creationId xmlns:a16="http://schemas.microsoft.com/office/drawing/2014/main" id="{AC12AD38-8875-4111-59D9-6F32A3B34BD7}"/>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486900" y="9060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38</xdr:row>
      <xdr:rowOff>7620</xdr:rowOff>
    </xdr:from>
    <xdr:to>
      <xdr:col>8</xdr:col>
      <xdr:colOff>388620</xdr:colOff>
      <xdr:row>53</xdr:row>
      <xdr:rowOff>7620</xdr:rowOff>
    </xdr:to>
    <xdr:graphicFrame macro="">
      <xdr:nvGraphicFramePr>
        <xdr:cNvPr id="12" name="Chart 11">
          <a:extLst>
            <a:ext uri="{FF2B5EF4-FFF2-40B4-BE49-F238E27FC236}">
              <a16:creationId xmlns:a16="http://schemas.microsoft.com/office/drawing/2014/main" id="{9A3FE80E-220F-A541-350C-E16AC1F05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OORI" refreshedDate="46297.596546064815" createdVersion="8" refreshedVersion="8" minRefreshableVersion="3" recordCount="500" xr:uid="{57CD73F1-066D-46BB-9E80-AA1560AB845A}">
  <cacheSource type="worksheet">
    <worksheetSource ref="A1:Z501" sheet="Newspaper Data"/>
  </cacheSource>
  <cacheFields count="26">
    <cacheField name="Sr. No." numFmtId="0">
      <sharedItems containsSemiMixedTypes="0" containsString="0" containsNumber="1" containsInteger="1" minValue="1" maxValue="500"/>
    </cacheField>
    <cacheField name="Employe ID" numFmtId="0">
      <sharedItems containsSemiMixedTypes="0" containsString="0" containsNumber="1" containsInteger="1" minValue="126801" maxValue="127300"/>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50" count="33">
        <n v="19"/>
        <n v="20"/>
        <n v="26"/>
        <n v="21"/>
        <n v="18"/>
        <n v="25"/>
        <n v="23"/>
        <n v="27"/>
        <n v="22"/>
        <n v="24"/>
        <n v="38"/>
        <n v="40"/>
        <n v="28"/>
        <n v="34"/>
        <n v="44"/>
        <n v="30"/>
        <n v="31"/>
        <n v="29"/>
        <n v="33"/>
        <n v="37"/>
        <n v="49"/>
        <n v="46"/>
        <n v="32"/>
        <n v="43"/>
        <n v="39"/>
        <n v="50"/>
        <n v="42"/>
        <n v="41"/>
        <n v="48"/>
        <n v="47"/>
        <n v="45"/>
        <n v="36"/>
        <n v="35"/>
      </sharedItems>
    </cacheField>
    <cacheField name="Age Group" numFmtId="0">
      <sharedItems count="4">
        <s v="18-25"/>
        <s v="26-35"/>
        <s v="36-45"/>
        <s v="50+"/>
      </sharedItems>
    </cacheField>
    <cacheField name="NEWSPAPER" numFmtId="0">
      <sharedItems/>
    </cacheField>
    <cacheField name="City" numFmtId="0">
      <sharedItems count="3">
        <s v="Chopanki"/>
        <s v="Jhiwana"/>
        <s v="Tapukara"/>
      </sharedItems>
    </cacheField>
    <cacheField name="Jan" numFmtId="0">
      <sharedItems containsSemiMixedTypes="0" containsString="0" containsNumber="1" containsInteger="1" minValue="27" maxValue="28"/>
    </cacheField>
    <cacheField name="Feb" numFmtId="0">
      <sharedItems containsSemiMixedTypes="0" containsString="0" containsNumber="1" containsInteger="1" minValue="27" maxValue="28"/>
    </cacheField>
    <cacheField name="Mar" numFmtId="0">
      <sharedItems containsSemiMixedTypes="0" containsString="0" containsNumber="1" containsInteger="1" minValue="27" maxValue="28"/>
    </cacheField>
    <cacheField name="Apr" numFmtId="0">
      <sharedItems containsSemiMixedTypes="0" containsString="0" containsNumber="1" containsInteger="1" minValue="27" maxValue="28"/>
    </cacheField>
    <cacheField name="May" numFmtId="0">
      <sharedItems containsSemiMixedTypes="0" containsString="0" containsNumber="1" containsInteger="1" minValue="27" maxValue="28"/>
    </cacheField>
    <cacheField name="Jun" numFmtId="0">
      <sharedItems containsSemiMixedTypes="0" containsString="0" containsNumber="1" containsInteger="1" minValue="27" maxValue="28"/>
    </cacheField>
    <cacheField name="Jul" numFmtId="0">
      <sharedItems containsSemiMixedTypes="0" containsString="0" containsNumber="1" containsInteger="1" minValue="27" maxValue="28"/>
    </cacheField>
    <cacheField name="Aug" numFmtId="0">
      <sharedItems containsSemiMixedTypes="0" containsString="0" containsNumber="1" containsInteger="1" minValue="27" maxValue="28"/>
    </cacheField>
    <cacheField name="Sep" numFmtId="0">
      <sharedItems containsSemiMixedTypes="0" containsString="0" containsNumber="1" containsInteger="1" minValue="27" maxValue="28"/>
    </cacheField>
    <cacheField name="Oct" numFmtId="0">
      <sharedItems containsSemiMixedTypes="0" containsString="0" containsNumber="1" containsInteger="1" minValue="27" maxValue="28"/>
    </cacheField>
    <cacheField name="Nov" numFmtId="0">
      <sharedItems containsSemiMixedTypes="0" containsString="0" containsNumber="1" containsInteger="1" minValue="27" maxValue="28"/>
    </cacheField>
    <cacheField name="Dec" numFmtId="0">
      <sharedItems containsSemiMixedTypes="0" containsString="0" containsNumber="1" containsInteger="1" minValue="27" maxValue="28"/>
    </cacheField>
    <cacheField name="Total Newspaper" numFmtId="0">
      <sharedItems containsSemiMixedTypes="0" containsString="0" containsNumber="1" containsInteger="1" minValue="326" maxValue="334"/>
    </cacheField>
    <cacheField name="Month of Joining" numFmtId="0">
      <sharedItems count="9">
        <s v="Mar"/>
        <s v="Jun"/>
        <s v="Jul"/>
        <s v="May"/>
        <s v="Jan"/>
        <s v="Feb"/>
        <s v="Apr"/>
        <s v="Sep"/>
        <s v="Aug"/>
      </sharedItems>
    </cacheField>
    <cacheField name="Date of Joining" numFmtId="14">
      <sharedItems containsSemiMixedTypes="0" containsNonDate="0" containsDate="1" containsString="0" minDate="2026-01-04T00:00:00" maxDate="2026-10-01T00:00:00"/>
    </cacheField>
    <cacheField name="Bill Amount" numFmtId="0">
      <sharedItems containsSemiMixedTypes="0" containsString="0" containsNumber="1" containsInteger="1" minValue="1956" maxValue="2004"/>
    </cacheField>
    <cacheField name="Rating" numFmtId="0">
      <sharedItems containsSemiMixedTypes="0" containsString="0" containsNumber="1" containsInteger="1" minValue="3" maxValue="5"/>
    </cacheField>
    <cacheField name="Payment Mode" numFmtId="0">
      <sharedItems count="2">
        <s v="UPI"/>
        <s v="Cash"/>
      </sharedItems>
    </cacheField>
  </cacheFields>
  <extLst>
    <ext xmlns:x14="http://schemas.microsoft.com/office/spreadsheetml/2009/9/main" uri="{725AE2AE-9491-48be-B2B4-4EB974FC3084}">
      <x14:pivotCacheDefinition pivotCacheId="264147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26801"/>
    <s v="CUSTOMER1"/>
    <x v="0"/>
    <x v="0"/>
    <x v="0"/>
    <s v="DainikBhaskar"/>
    <x v="0"/>
    <n v="27"/>
    <n v="28"/>
    <n v="28"/>
    <n v="28"/>
    <n v="28"/>
    <n v="27"/>
    <n v="28"/>
    <n v="27"/>
    <n v="27"/>
    <n v="28"/>
    <n v="28"/>
    <n v="27"/>
    <n v="331"/>
    <x v="0"/>
    <d v="2026-03-31T00:00:00"/>
    <n v="1986"/>
    <n v="5"/>
    <x v="0"/>
  </r>
  <r>
    <n v="2"/>
    <n v="126802"/>
    <s v="CUSTOMER2"/>
    <x v="0"/>
    <x v="1"/>
    <x v="0"/>
    <s v="DainikBhaskar"/>
    <x v="1"/>
    <n v="27"/>
    <n v="27"/>
    <n v="27"/>
    <n v="28"/>
    <n v="28"/>
    <n v="27"/>
    <n v="27"/>
    <n v="28"/>
    <n v="27"/>
    <n v="28"/>
    <n v="27"/>
    <n v="27"/>
    <n v="328"/>
    <x v="1"/>
    <d v="2026-06-04T00:00:00"/>
    <n v="1968"/>
    <n v="5"/>
    <x v="1"/>
  </r>
  <r>
    <n v="3"/>
    <n v="126803"/>
    <s v="CUSTOMER3"/>
    <x v="0"/>
    <x v="2"/>
    <x v="1"/>
    <s v="DainikJagran"/>
    <x v="2"/>
    <n v="27"/>
    <n v="27"/>
    <n v="28"/>
    <n v="27"/>
    <n v="28"/>
    <n v="27"/>
    <n v="27"/>
    <n v="28"/>
    <n v="28"/>
    <n v="27"/>
    <n v="27"/>
    <n v="28"/>
    <n v="329"/>
    <x v="2"/>
    <d v="2026-07-08T00:00:00"/>
    <n v="1974"/>
    <n v="3"/>
    <x v="1"/>
  </r>
  <r>
    <n v="4"/>
    <n v="126804"/>
    <s v="CUSTOMER4"/>
    <x v="1"/>
    <x v="3"/>
    <x v="0"/>
    <s v="DainikBhaskar"/>
    <x v="1"/>
    <n v="27"/>
    <n v="27"/>
    <n v="27"/>
    <n v="27"/>
    <n v="27"/>
    <n v="27"/>
    <n v="27"/>
    <n v="27"/>
    <n v="28"/>
    <n v="27"/>
    <n v="28"/>
    <n v="28"/>
    <n v="327"/>
    <x v="1"/>
    <d v="2026-06-27T00:00:00"/>
    <n v="1962"/>
    <n v="3"/>
    <x v="1"/>
  </r>
  <r>
    <n v="5"/>
    <n v="126805"/>
    <s v="CUSTOMER5"/>
    <x v="0"/>
    <x v="0"/>
    <x v="0"/>
    <s v="DainikBhaskar"/>
    <x v="2"/>
    <n v="27"/>
    <n v="27"/>
    <n v="27"/>
    <n v="27"/>
    <n v="28"/>
    <n v="27"/>
    <n v="27"/>
    <n v="27"/>
    <n v="27"/>
    <n v="28"/>
    <n v="28"/>
    <n v="27"/>
    <n v="327"/>
    <x v="0"/>
    <d v="2026-03-29T00:00:00"/>
    <n v="1962"/>
    <n v="5"/>
    <x v="1"/>
  </r>
  <r>
    <n v="6"/>
    <n v="126806"/>
    <s v="CUSTOMER6"/>
    <x v="1"/>
    <x v="3"/>
    <x v="0"/>
    <s v="TheTimesofIndia"/>
    <x v="2"/>
    <n v="28"/>
    <n v="28"/>
    <n v="27"/>
    <n v="27"/>
    <n v="27"/>
    <n v="28"/>
    <n v="28"/>
    <n v="28"/>
    <n v="27"/>
    <n v="28"/>
    <n v="28"/>
    <n v="27"/>
    <n v="331"/>
    <x v="3"/>
    <d v="2026-05-18T00:00:00"/>
    <n v="1986"/>
    <n v="3"/>
    <x v="1"/>
  </r>
  <r>
    <n v="7"/>
    <n v="126807"/>
    <s v="CUSTOMER7"/>
    <x v="1"/>
    <x v="1"/>
    <x v="0"/>
    <s v="DainikJagran"/>
    <x v="1"/>
    <n v="27"/>
    <n v="28"/>
    <n v="27"/>
    <n v="28"/>
    <n v="27"/>
    <n v="28"/>
    <n v="28"/>
    <n v="27"/>
    <n v="28"/>
    <n v="28"/>
    <n v="28"/>
    <n v="27"/>
    <n v="331"/>
    <x v="2"/>
    <d v="2026-07-12T00:00:00"/>
    <n v="1986"/>
    <n v="4"/>
    <x v="0"/>
  </r>
  <r>
    <n v="8"/>
    <n v="126808"/>
    <s v="CUSTOMER8"/>
    <x v="0"/>
    <x v="2"/>
    <x v="1"/>
    <s v="Rajasthanpatrika"/>
    <x v="2"/>
    <n v="27"/>
    <n v="28"/>
    <n v="27"/>
    <n v="28"/>
    <n v="27"/>
    <n v="28"/>
    <n v="27"/>
    <n v="28"/>
    <n v="27"/>
    <n v="28"/>
    <n v="28"/>
    <n v="27"/>
    <n v="330"/>
    <x v="4"/>
    <d v="2026-01-14T00:00:00"/>
    <n v="1980"/>
    <n v="4"/>
    <x v="0"/>
  </r>
  <r>
    <n v="9"/>
    <n v="126809"/>
    <s v="CUSTOMER9"/>
    <x v="0"/>
    <x v="2"/>
    <x v="1"/>
    <s v="TheTimesofIndia"/>
    <x v="2"/>
    <n v="28"/>
    <n v="28"/>
    <n v="28"/>
    <n v="27"/>
    <n v="28"/>
    <n v="28"/>
    <n v="27"/>
    <n v="28"/>
    <n v="28"/>
    <n v="27"/>
    <n v="27"/>
    <n v="27"/>
    <n v="331"/>
    <x v="4"/>
    <d v="2026-01-21T00:00:00"/>
    <n v="1986"/>
    <n v="5"/>
    <x v="1"/>
  </r>
  <r>
    <n v="10"/>
    <n v="126810"/>
    <s v="CUSTOMER10"/>
    <x v="0"/>
    <x v="4"/>
    <x v="0"/>
    <s v="Rajasthanpatrika"/>
    <x v="1"/>
    <n v="28"/>
    <n v="28"/>
    <n v="28"/>
    <n v="27"/>
    <n v="28"/>
    <n v="27"/>
    <n v="27"/>
    <n v="27"/>
    <n v="27"/>
    <n v="28"/>
    <n v="28"/>
    <n v="28"/>
    <n v="331"/>
    <x v="5"/>
    <d v="2026-02-05T00:00:00"/>
    <n v="1986"/>
    <n v="3"/>
    <x v="0"/>
  </r>
  <r>
    <n v="11"/>
    <n v="126811"/>
    <s v="CUSTOMER11"/>
    <x v="0"/>
    <x v="2"/>
    <x v="1"/>
    <s v="DainikJagran"/>
    <x v="0"/>
    <n v="27"/>
    <n v="27"/>
    <n v="28"/>
    <n v="27"/>
    <n v="27"/>
    <n v="28"/>
    <n v="28"/>
    <n v="27"/>
    <n v="28"/>
    <n v="27"/>
    <n v="28"/>
    <n v="27"/>
    <n v="329"/>
    <x v="6"/>
    <d v="2026-04-28T00:00:00"/>
    <n v="1974"/>
    <n v="4"/>
    <x v="0"/>
  </r>
  <r>
    <n v="12"/>
    <n v="126812"/>
    <s v="CUSTOMER12"/>
    <x v="0"/>
    <x v="5"/>
    <x v="0"/>
    <s v="TheTimesofIndia"/>
    <x v="0"/>
    <n v="28"/>
    <n v="28"/>
    <n v="28"/>
    <n v="27"/>
    <n v="28"/>
    <n v="27"/>
    <n v="27"/>
    <n v="28"/>
    <n v="27"/>
    <n v="27"/>
    <n v="27"/>
    <n v="28"/>
    <n v="330"/>
    <x v="3"/>
    <d v="2026-05-12T00:00:00"/>
    <n v="1980"/>
    <n v="4"/>
    <x v="0"/>
  </r>
  <r>
    <n v="13"/>
    <n v="126813"/>
    <s v="CUSTOMER13"/>
    <x v="0"/>
    <x v="6"/>
    <x v="0"/>
    <s v="Rajasthanpatrika"/>
    <x v="1"/>
    <n v="28"/>
    <n v="27"/>
    <n v="27"/>
    <n v="28"/>
    <n v="28"/>
    <n v="28"/>
    <n v="27"/>
    <n v="28"/>
    <n v="27"/>
    <n v="28"/>
    <n v="27"/>
    <n v="28"/>
    <n v="331"/>
    <x v="4"/>
    <d v="2026-01-22T00:00:00"/>
    <n v="1986"/>
    <n v="4"/>
    <x v="1"/>
  </r>
  <r>
    <n v="14"/>
    <n v="126814"/>
    <s v="CUSTOMER14"/>
    <x v="0"/>
    <x v="7"/>
    <x v="1"/>
    <s v="PunjabKesri"/>
    <x v="0"/>
    <n v="28"/>
    <n v="28"/>
    <n v="27"/>
    <n v="28"/>
    <n v="27"/>
    <n v="27"/>
    <n v="27"/>
    <n v="28"/>
    <n v="27"/>
    <n v="28"/>
    <n v="27"/>
    <n v="28"/>
    <n v="330"/>
    <x v="7"/>
    <d v="2026-09-05T00:00:00"/>
    <n v="1980"/>
    <n v="3"/>
    <x v="0"/>
  </r>
  <r>
    <n v="15"/>
    <n v="126815"/>
    <s v="CUSTOMER15"/>
    <x v="1"/>
    <x v="0"/>
    <x v="0"/>
    <s v="TheTimesofIndia"/>
    <x v="2"/>
    <n v="28"/>
    <n v="27"/>
    <n v="27"/>
    <n v="28"/>
    <n v="28"/>
    <n v="28"/>
    <n v="28"/>
    <n v="27"/>
    <n v="28"/>
    <n v="28"/>
    <n v="28"/>
    <n v="28"/>
    <n v="333"/>
    <x v="6"/>
    <d v="2026-04-28T00:00:00"/>
    <n v="1998"/>
    <n v="3"/>
    <x v="1"/>
  </r>
  <r>
    <n v="16"/>
    <n v="126816"/>
    <s v="CUSTOMER16"/>
    <x v="1"/>
    <x v="8"/>
    <x v="0"/>
    <s v="Rajasthanpatrika"/>
    <x v="0"/>
    <n v="27"/>
    <n v="28"/>
    <n v="27"/>
    <n v="28"/>
    <n v="28"/>
    <n v="28"/>
    <n v="27"/>
    <n v="27"/>
    <n v="27"/>
    <n v="28"/>
    <n v="28"/>
    <n v="28"/>
    <n v="331"/>
    <x v="4"/>
    <d v="2026-01-20T00:00:00"/>
    <n v="1986"/>
    <n v="3"/>
    <x v="1"/>
  </r>
  <r>
    <n v="17"/>
    <n v="126817"/>
    <s v="CUSTOMER17"/>
    <x v="0"/>
    <x v="0"/>
    <x v="0"/>
    <s v="DainikBhaskar"/>
    <x v="0"/>
    <n v="27"/>
    <n v="28"/>
    <n v="27"/>
    <n v="28"/>
    <n v="28"/>
    <n v="28"/>
    <n v="27"/>
    <n v="27"/>
    <n v="27"/>
    <n v="27"/>
    <n v="27"/>
    <n v="27"/>
    <n v="328"/>
    <x v="7"/>
    <d v="2026-09-09T00:00:00"/>
    <n v="1968"/>
    <n v="4"/>
    <x v="0"/>
  </r>
  <r>
    <n v="18"/>
    <n v="126818"/>
    <s v="CUSTOMER18"/>
    <x v="0"/>
    <x v="6"/>
    <x v="0"/>
    <s v="PunjabKesri"/>
    <x v="1"/>
    <n v="28"/>
    <n v="27"/>
    <n v="27"/>
    <n v="28"/>
    <n v="27"/>
    <n v="27"/>
    <n v="27"/>
    <n v="28"/>
    <n v="28"/>
    <n v="27"/>
    <n v="28"/>
    <n v="27"/>
    <n v="329"/>
    <x v="3"/>
    <d v="2026-05-04T00:00:00"/>
    <n v="1974"/>
    <n v="3"/>
    <x v="0"/>
  </r>
  <r>
    <n v="19"/>
    <n v="126819"/>
    <s v="CUSTOMER19"/>
    <x v="0"/>
    <x v="9"/>
    <x v="0"/>
    <s v="PunjabKesri"/>
    <x v="0"/>
    <n v="28"/>
    <n v="28"/>
    <n v="27"/>
    <n v="27"/>
    <n v="27"/>
    <n v="28"/>
    <n v="28"/>
    <n v="27"/>
    <n v="28"/>
    <n v="28"/>
    <n v="27"/>
    <n v="28"/>
    <n v="331"/>
    <x v="3"/>
    <d v="2026-05-09T00:00:00"/>
    <n v="1986"/>
    <n v="3"/>
    <x v="1"/>
  </r>
  <r>
    <n v="20"/>
    <n v="126820"/>
    <s v="CUSTOMER20"/>
    <x v="0"/>
    <x v="5"/>
    <x v="0"/>
    <s v="DainikJagran"/>
    <x v="0"/>
    <n v="27"/>
    <n v="28"/>
    <n v="27"/>
    <n v="28"/>
    <n v="28"/>
    <n v="27"/>
    <n v="28"/>
    <n v="27"/>
    <n v="27"/>
    <n v="27"/>
    <n v="27"/>
    <n v="27"/>
    <n v="328"/>
    <x v="4"/>
    <d v="2026-01-20T00:00:00"/>
    <n v="1968"/>
    <n v="5"/>
    <x v="0"/>
  </r>
  <r>
    <n v="21"/>
    <n v="126821"/>
    <s v="CUSTOMER21"/>
    <x v="0"/>
    <x v="3"/>
    <x v="0"/>
    <s v="DainikJagran"/>
    <x v="0"/>
    <n v="28"/>
    <n v="28"/>
    <n v="28"/>
    <n v="28"/>
    <n v="27"/>
    <n v="27"/>
    <n v="27"/>
    <n v="28"/>
    <n v="27"/>
    <n v="27"/>
    <n v="28"/>
    <n v="28"/>
    <n v="331"/>
    <x v="5"/>
    <d v="2026-02-11T00:00:00"/>
    <n v="1986"/>
    <n v="5"/>
    <x v="0"/>
  </r>
  <r>
    <n v="22"/>
    <n v="126822"/>
    <s v="CUSTOMER22"/>
    <x v="1"/>
    <x v="4"/>
    <x v="0"/>
    <s v="TheTimesofIndia"/>
    <x v="0"/>
    <n v="28"/>
    <n v="28"/>
    <n v="27"/>
    <n v="27"/>
    <n v="27"/>
    <n v="27"/>
    <n v="27"/>
    <n v="28"/>
    <n v="28"/>
    <n v="28"/>
    <n v="27"/>
    <n v="28"/>
    <n v="330"/>
    <x v="0"/>
    <d v="2026-03-05T00:00:00"/>
    <n v="1980"/>
    <n v="3"/>
    <x v="1"/>
  </r>
  <r>
    <n v="23"/>
    <n v="126823"/>
    <s v="CUSTOMER23"/>
    <x v="0"/>
    <x v="2"/>
    <x v="1"/>
    <s v="Rajasthanpatrika"/>
    <x v="2"/>
    <n v="28"/>
    <n v="27"/>
    <n v="28"/>
    <n v="28"/>
    <n v="28"/>
    <n v="27"/>
    <n v="27"/>
    <n v="28"/>
    <n v="28"/>
    <n v="28"/>
    <n v="28"/>
    <n v="28"/>
    <n v="333"/>
    <x v="6"/>
    <d v="2026-04-03T00:00:00"/>
    <n v="1998"/>
    <n v="4"/>
    <x v="0"/>
  </r>
  <r>
    <n v="24"/>
    <n v="126824"/>
    <s v="CUSTOMER24"/>
    <x v="0"/>
    <x v="5"/>
    <x v="0"/>
    <s v="PunjabKesri"/>
    <x v="2"/>
    <n v="27"/>
    <n v="27"/>
    <n v="27"/>
    <n v="27"/>
    <n v="27"/>
    <n v="27"/>
    <n v="27"/>
    <n v="28"/>
    <n v="27"/>
    <n v="28"/>
    <n v="27"/>
    <n v="28"/>
    <n v="327"/>
    <x v="4"/>
    <d v="2026-01-29T00:00:00"/>
    <n v="1962"/>
    <n v="3"/>
    <x v="1"/>
  </r>
  <r>
    <n v="25"/>
    <n v="126825"/>
    <s v="CUSTOMER25"/>
    <x v="0"/>
    <x v="5"/>
    <x v="0"/>
    <s v="DainikBhaskar"/>
    <x v="0"/>
    <n v="28"/>
    <n v="28"/>
    <n v="27"/>
    <n v="27"/>
    <n v="27"/>
    <n v="28"/>
    <n v="28"/>
    <n v="28"/>
    <n v="28"/>
    <n v="27"/>
    <n v="28"/>
    <n v="28"/>
    <n v="332"/>
    <x v="5"/>
    <d v="2026-02-26T00:00:00"/>
    <n v="1992"/>
    <n v="4"/>
    <x v="1"/>
  </r>
  <r>
    <n v="26"/>
    <n v="126826"/>
    <s v="CUSTOMER26"/>
    <x v="1"/>
    <x v="6"/>
    <x v="0"/>
    <s v="DainikJagran"/>
    <x v="2"/>
    <n v="27"/>
    <n v="28"/>
    <n v="27"/>
    <n v="28"/>
    <n v="27"/>
    <n v="28"/>
    <n v="28"/>
    <n v="27"/>
    <n v="27"/>
    <n v="28"/>
    <n v="27"/>
    <n v="28"/>
    <n v="330"/>
    <x v="5"/>
    <d v="2026-02-22T00:00:00"/>
    <n v="1980"/>
    <n v="5"/>
    <x v="0"/>
  </r>
  <r>
    <n v="27"/>
    <n v="126827"/>
    <s v="CUSTOMER27"/>
    <x v="0"/>
    <x v="5"/>
    <x v="0"/>
    <s v="TheTimesofIndia"/>
    <x v="1"/>
    <n v="28"/>
    <n v="28"/>
    <n v="27"/>
    <n v="27"/>
    <n v="28"/>
    <n v="28"/>
    <n v="27"/>
    <n v="27"/>
    <n v="28"/>
    <n v="28"/>
    <n v="28"/>
    <n v="27"/>
    <n v="331"/>
    <x v="2"/>
    <d v="2026-07-24T00:00:00"/>
    <n v="1986"/>
    <n v="5"/>
    <x v="0"/>
  </r>
  <r>
    <n v="28"/>
    <n v="126828"/>
    <s v="CUSTOMER28"/>
    <x v="1"/>
    <x v="3"/>
    <x v="0"/>
    <s v="DainikBhaskar"/>
    <x v="0"/>
    <n v="28"/>
    <n v="27"/>
    <n v="28"/>
    <n v="28"/>
    <n v="27"/>
    <n v="28"/>
    <n v="27"/>
    <n v="28"/>
    <n v="27"/>
    <n v="28"/>
    <n v="28"/>
    <n v="27"/>
    <n v="331"/>
    <x v="5"/>
    <d v="2026-02-18T00:00:00"/>
    <n v="1986"/>
    <n v="3"/>
    <x v="0"/>
  </r>
  <r>
    <n v="29"/>
    <n v="126829"/>
    <s v="CUSTOMER29"/>
    <x v="1"/>
    <x v="7"/>
    <x v="1"/>
    <s v="TheTimesofIndia"/>
    <x v="1"/>
    <n v="28"/>
    <n v="28"/>
    <n v="28"/>
    <n v="27"/>
    <n v="27"/>
    <n v="27"/>
    <n v="28"/>
    <n v="27"/>
    <n v="27"/>
    <n v="28"/>
    <n v="27"/>
    <n v="28"/>
    <n v="330"/>
    <x v="7"/>
    <d v="2026-09-27T00:00:00"/>
    <n v="1980"/>
    <n v="5"/>
    <x v="0"/>
  </r>
  <r>
    <n v="30"/>
    <n v="126830"/>
    <s v="CUSTOMER30"/>
    <x v="0"/>
    <x v="6"/>
    <x v="0"/>
    <s v="DainikBhaskar"/>
    <x v="2"/>
    <n v="28"/>
    <n v="28"/>
    <n v="28"/>
    <n v="27"/>
    <n v="28"/>
    <n v="28"/>
    <n v="28"/>
    <n v="27"/>
    <n v="27"/>
    <n v="27"/>
    <n v="27"/>
    <n v="27"/>
    <n v="330"/>
    <x v="5"/>
    <d v="2026-02-04T00:00:00"/>
    <n v="1980"/>
    <n v="4"/>
    <x v="0"/>
  </r>
  <r>
    <n v="31"/>
    <n v="126831"/>
    <s v="CUSTOMER31"/>
    <x v="0"/>
    <x v="0"/>
    <x v="0"/>
    <s v="Rajasthanpatrika"/>
    <x v="2"/>
    <n v="28"/>
    <n v="27"/>
    <n v="28"/>
    <n v="27"/>
    <n v="28"/>
    <n v="27"/>
    <n v="28"/>
    <n v="28"/>
    <n v="27"/>
    <n v="28"/>
    <n v="27"/>
    <n v="27"/>
    <n v="330"/>
    <x v="3"/>
    <d v="2026-05-22T00:00:00"/>
    <n v="1980"/>
    <n v="4"/>
    <x v="0"/>
  </r>
  <r>
    <n v="32"/>
    <n v="126832"/>
    <s v="CUSTOMER32"/>
    <x v="0"/>
    <x v="2"/>
    <x v="1"/>
    <s v="DainikJagran"/>
    <x v="2"/>
    <n v="27"/>
    <n v="28"/>
    <n v="27"/>
    <n v="27"/>
    <n v="28"/>
    <n v="27"/>
    <n v="28"/>
    <n v="28"/>
    <n v="27"/>
    <n v="28"/>
    <n v="27"/>
    <n v="28"/>
    <n v="330"/>
    <x v="4"/>
    <d v="2026-01-25T00:00:00"/>
    <n v="1980"/>
    <n v="4"/>
    <x v="0"/>
  </r>
  <r>
    <n v="33"/>
    <n v="126833"/>
    <s v="CUSTOMER33"/>
    <x v="0"/>
    <x v="4"/>
    <x v="0"/>
    <s v="PunjabKesri"/>
    <x v="1"/>
    <n v="27"/>
    <n v="27"/>
    <n v="28"/>
    <n v="28"/>
    <n v="28"/>
    <n v="27"/>
    <n v="28"/>
    <n v="27"/>
    <n v="27"/>
    <n v="27"/>
    <n v="27"/>
    <n v="27"/>
    <n v="328"/>
    <x v="8"/>
    <d v="2026-08-24T00:00:00"/>
    <n v="1968"/>
    <n v="4"/>
    <x v="1"/>
  </r>
  <r>
    <n v="34"/>
    <n v="126834"/>
    <s v="CUSTOMER34"/>
    <x v="0"/>
    <x v="5"/>
    <x v="0"/>
    <s v="Rajasthanpatrika"/>
    <x v="2"/>
    <n v="28"/>
    <n v="28"/>
    <n v="27"/>
    <n v="27"/>
    <n v="27"/>
    <n v="28"/>
    <n v="27"/>
    <n v="27"/>
    <n v="27"/>
    <n v="28"/>
    <n v="27"/>
    <n v="27"/>
    <n v="328"/>
    <x v="4"/>
    <d v="2026-01-10T00:00:00"/>
    <n v="1968"/>
    <n v="5"/>
    <x v="0"/>
  </r>
  <r>
    <n v="35"/>
    <n v="126835"/>
    <s v="CUSTOMER35"/>
    <x v="0"/>
    <x v="9"/>
    <x v="0"/>
    <s v="DainikBhaskar"/>
    <x v="0"/>
    <n v="27"/>
    <n v="28"/>
    <n v="27"/>
    <n v="28"/>
    <n v="28"/>
    <n v="27"/>
    <n v="28"/>
    <n v="28"/>
    <n v="27"/>
    <n v="28"/>
    <n v="27"/>
    <n v="27"/>
    <n v="330"/>
    <x v="5"/>
    <d v="2026-02-22T00:00:00"/>
    <n v="1980"/>
    <n v="3"/>
    <x v="1"/>
  </r>
  <r>
    <n v="36"/>
    <n v="126836"/>
    <s v="CUSTOMER36"/>
    <x v="0"/>
    <x v="2"/>
    <x v="1"/>
    <s v="Rajasthanpatrika"/>
    <x v="0"/>
    <n v="27"/>
    <n v="28"/>
    <n v="28"/>
    <n v="28"/>
    <n v="28"/>
    <n v="28"/>
    <n v="27"/>
    <n v="28"/>
    <n v="27"/>
    <n v="27"/>
    <n v="28"/>
    <n v="28"/>
    <n v="332"/>
    <x v="3"/>
    <d v="2026-05-16T00:00:00"/>
    <n v="1992"/>
    <n v="4"/>
    <x v="0"/>
  </r>
  <r>
    <n v="37"/>
    <n v="126837"/>
    <s v="CUSTOMER37"/>
    <x v="1"/>
    <x v="0"/>
    <x v="0"/>
    <s v="PunjabKesri"/>
    <x v="0"/>
    <n v="28"/>
    <n v="27"/>
    <n v="28"/>
    <n v="28"/>
    <n v="28"/>
    <n v="28"/>
    <n v="28"/>
    <n v="28"/>
    <n v="27"/>
    <n v="28"/>
    <n v="27"/>
    <n v="27"/>
    <n v="332"/>
    <x v="2"/>
    <d v="2026-07-29T00:00:00"/>
    <n v="1992"/>
    <n v="4"/>
    <x v="1"/>
  </r>
  <r>
    <n v="38"/>
    <n v="126838"/>
    <s v="CUSTOMER38"/>
    <x v="1"/>
    <x v="6"/>
    <x v="0"/>
    <s v="DainikBhaskar"/>
    <x v="1"/>
    <n v="28"/>
    <n v="28"/>
    <n v="27"/>
    <n v="28"/>
    <n v="27"/>
    <n v="27"/>
    <n v="27"/>
    <n v="27"/>
    <n v="28"/>
    <n v="27"/>
    <n v="28"/>
    <n v="27"/>
    <n v="329"/>
    <x v="1"/>
    <d v="2026-06-23T00:00:00"/>
    <n v="1974"/>
    <n v="5"/>
    <x v="1"/>
  </r>
  <r>
    <n v="39"/>
    <n v="126839"/>
    <s v="CUSTOMER39"/>
    <x v="0"/>
    <x v="1"/>
    <x v="0"/>
    <s v="TheTimesofIndia"/>
    <x v="2"/>
    <n v="28"/>
    <n v="28"/>
    <n v="27"/>
    <n v="27"/>
    <n v="27"/>
    <n v="28"/>
    <n v="27"/>
    <n v="27"/>
    <n v="28"/>
    <n v="27"/>
    <n v="27"/>
    <n v="28"/>
    <n v="329"/>
    <x v="3"/>
    <d v="2026-05-02T00:00:00"/>
    <n v="1974"/>
    <n v="4"/>
    <x v="0"/>
  </r>
  <r>
    <n v="40"/>
    <n v="126840"/>
    <s v="CUSTOMER40"/>
    <x v="0"/>
    <x v="8"/>
    <x v="0"/>
    <s v="Rajasthanpatrika"/>
    <x v="2"/>
    <n v="27"/>
    <n v="28"/>
    <n v="27"/>
    <n v="27"/>
    <n v="28"/>
    <n v="28"/>
    <n v="27"/>
    <n v="27"/>
    <n v="27"/>
    <n v="28"/>
    <n v="28"/>
    <n v="28"/>
    <n v="330"/>
    <x v="0"/>
    <d v="2026-03-16T00:00:00"/>
    <n v="1980"/>
    <n v="5"/>
    <x v="1"/>
  </r>
  <r>
    <n v="41"/>
    <n v="126841"/>
    <s v="CUSTOMER41"/>
    <x v="0"/>
    <x v="0"/>
    <x v="0"/>
    <s v="PunjabKesri"/>
    <x v="0"/>
    <n v="27"/>
    <n v="27"/>
    <n v="27"/>
    <n v="28"/>
    <n v="28"/>
    <n v="28"/>
    <n v="27"/>
    <n v="28"/>
    <n v="28"/>
    <n v="28"/>
    <n v="27"/>
    <n v="28"/>
    <n v="331"/>
    <x v="1"/>
    <d v="2026-06-16T00:00:00"/>
    <n v="1986"/>
    <n v="5"/>
    <x v="0"/>
  </r>
  <r>
    <n v="42"/>
    <n v="126842"/>
    <s v="CUSTOMER42"/>
    <x v="0"/>
    <x v="2"/>
    <x v="1"/>
    <s v="Rajasthanpatrika"/>
    <x v="2"/>
    <n v="28"/>
    <n v="27"/>
    <n v="28"/>
    <n v="28"/>
    <n v="27"/>
    <n v="27"/>
    <n v="27"/>
    <n v="28"/>
    <n v="27"/>
    <n v="28"/>
    <n v="27"/>
    <n v="28"/>
    <n v="330"/>
    <x v="5"/>
    <d v="2026-02-13T00:00:00"/>
    <n v="1980"/>
    <n v="3"/>
    <x v="1"/>
  </r>
  <r>
    <n v="43"/>
    <n v="126843"/>
    <s v="CUSTOMER43"/>
    <x v="0"/>
    <x v="2"/>
    <x v="1"/>
    <s v="TheTimesofIndia"/>
    <x v="1"/>
    <n v="28"/>
    <n v="28"/>
    <n v="28"/>
    <n v="27"/>
    <n v="27"/>
    <n v="27"/>
    <n v="27"/>
    <n v="28"/>
    <n v="28"/>
    <n v="27"/>
    <n v="28"/>
    <n v="28"/>
    <n v="331"/>
    <x v="3"/>
    <d v="2026-05-15T00:00:00"/>
    <n v="1986"/>
    <n v="4"/>
    <x v="0"/>
  </r>
  <r>
    <n v="44"/>
    <n v="126844"/>
    <s v="CUSTOMER44"/>
    <x v="1"/>
    <x v="5"/>
    <x v="0"/>
    <s v="DainikBhaskar"/>
    <x v="1"/>
    <n v="28"/>
    <n v="27"/>
    <n v="28"/>
    <n v="27"/>
    <n v="28"/>
    <n v="27"/>
    <n v="27"/>
    <n v="28"/>
    <n v="27"/>
    <n v="28"/>
    <n v="28"/>
    <n v="28"/>
    <n v="331"/>
    <x v="1"/>
    <d v="2026-06-25T00:00:00"/>
    <n v="1986"/>
    <n v="3"/>
    <x v="0"/>
  </r>
  <r>
    <n v="45"/>
    <n v="126845"/>
    <s v="CUSTOMER45"/>
    <x v="0"/>
    <x v="6"/>
    <x v="0"/>
    <s v="Rajasthanpatrika"/>
    <x v="0"/>
    <n v="27"/>
    <n v="28"/>
    <n v="28"/>
    <n v="27"/>
    <n v="28"/>
    <n v="28"/>
    <n v="28"/>
    <n v="28"/>
    <n v="28"/>
    <n v="28"/>
    <n v="28"/>
    <n v="27"/>
    <n v="333"/>
    <x v="4"/>
    <d v="2026-01-13T00:00:00"/>
    <n v="1998"/>
    <n v="4"/>
    <x v="1"/>
  </r>
  <r>
    <n v="46"/>
    <n v="126846"/>
    <s v="CUSTOMER46"/>
    <x v="0"/>
    <x v="4"/>
    <x v="0"/>
    <s v="TheTimesofIndia"/>
    <x v="0"/>
    <n v="27"/>
    <n v="28"/>
    <n v="27"/>
    <n v="27"/>
    <n v="28"/>
    <n v="27"/>
    <n v="28"/>
    <n v="27"/>
    <n v="28"/>
    <n v="27"/>
    <n v="27"/>
    <n v="27"/>
    <n v="328"/>
    <x v="7"/>
    <d v="2026-09-26T00:00:00"/>
    <n v="1968"/>
    <n v="3"/>
    <x v="1"/>
  </r>
  <r>
    <n v="47"/>
    <n v="126847"/>
    <s v="CUSTOMER47"/>
    <x v="0"/>
    <x v="8"/>
    <x v="0"/>
    <s v="DainikBhaskar"/>
    <x v="0"/>
    <n v="28"/>
    <n v="27"/>
    <n v="28"/>
    <n v="28"/>
    <n v="28"/>
    <n v="27"/>
    <n v="28"/>
    <n v="28"/>
    <n v="28"/>
    <n v="28"/>
    <n v="28"/>
    <n v="27"/>
    <n v="333"/>
    <x v="6"/>
    <d v="2026-04-21T00:00:00"/>
    <n v="1998"/>
    <n v="3"/>
    <x v="1"/>
  </r>
  <r>
    <n v="48"/>
    <n v="126848"/>
    <s v="CUSTOMER48"/>
    <x v="1"/>
    <x v="7"/>
    <x v="1"/>
    <s v="DainikJagran"/>
    <x v="1"/>
    <n v="27"/>
    <n v="28"/>
    <n v="28"/>
    <n v="27"/>
    <n v="27"/>
    <n v="28"/>
    <n v="27"/>
    <n v="27"/>
    <n v="28"/>
    <n v="27"/>
    <n v="27"/>
    <n v="28"/>
    <n v="329"/>
    <x v="8"/>
    <d v="2026-08-01T00:00:00"/>
    <n v="1974"/>
    <n v="5"/>
    <x v="0"/>
  </r>
  <r>
    <n v="49"/>
    <n v="126849"/>
    <s v="CUSTOMER49"/>
    <x v="0"/>
    <x v="9"/>
    <x v="0"/>
    <s v="DainikBhaskar"/>
    <x v="2"/>
    <n v="27"/>
    <n v="27"/>
    <n v="27"/>
    <n v="28"/>
    <n v="27"/>
    <n v="28"/>
    <n v="27"/>
    <n v="28"/>
    <n v="27"/>
    <n v="27"/>
    <n v="28"/>
    <n v="28"/>
    <n v="329"/>
    <x v="6"/>
    <d v="2026-04-15T00:00:00"/>
    <n v="1974"/>
    <n v="3"/>
    <x v="1"/>
  </r>
  <r>
    <n v="50"/>
    <n v="126850"/>
    <s v="CUSTOMER50"/>
    <x v="1"/>
    <x v="5"/>
    <x v="0"/>
    <s v="DainikBhaskar"/>
    <x v="1"/>
    <n v="27"/>
    <n v="27"/>
    <n v="27"/>
    <n v="27"/>
    <n v="27"/>
    <n v="28"/>
    <n v="27"/>
    <n v="28"/>
    <n v="27"/>
    <n v="27"/>
    <n v="28"/>
    <n v="27"/>
    <n v="327"/>
    <x v="6"/>
    <d v="2026-04-21T00:00:00"/>
    <n v="1962"/>
    <n v="3"/>
    <x v="0"/>
  </r>
  <r>
    <n v="51"/>
    <n v="126851"/>
    <s v="CUSTOMER51"/>
    <x v="1"/>
    <x v="2"/>
    <x v="1"/>
    <s v="Rajasthanpatrika"/>
    <x v="0"/>
    <n v="27"/>
    <n v="28"/>
    <n v="27"/>
    <n v="28"/>
    <n v="28"/>
    <n v="28"/>
    <n v="28"/>
    <n v="28"/>
    <n v="28"/>
    <n v="28"/>
    <n v="28"/>
    <n v="27"/>
    <n v="333"/>
    <x v="7"/>
    <d v="2026-09-28T00:00:00"/>
    <n v="1998"/>
    <n v="4"/>
    <x v="1"/>
  </r>
  <r>
    <n v="52"/>
    <n v="126852"/>
    <s v="CUSTOMER52"/>
    <x v="0"/>
    <x v="9"/>
    <x v="0"/>
    <s v="TheTimesofIndia"/>
    <x v="2"/>
    <n v="27"/>
    <n v="27"/>
    <n v="27"/>
    <n v="28"/>
    <n v="27"/>
    <n v="28"/>
    <n v="27"/>
    <n v="27"/>
    <n v="28"/>
    <n v="28"/>
    <n v="28"/>
    <n v="27"/>
    <n v="329"/>
    <x v="7"/>
    <d v="2026-09-10T00:00:00"/>
    <n v="1974"/>
    <n v="4"/>
    <x v="1"/>
  </r>
  <r>
    <n v="53"/>
    <n v="126853"/>
    <s v="CUSTOMER53"/>
    <x v="0"/>
    <x v="7"/>
    <x v="1"/>
    <s v="DainikBhaskar"/>
    <x v="2"/>
    <n v="27"/>
    <n v="27"/>
    <n v="28"/>
    <n v="27"/>
    <n v="28"/>
    <n v="27"/>
    <n v="28"/>
    <n v="27"/>
    <n v="27"/>
    <n v="27"/>
    <n v="27"/>
    <n v="27"/>
    <n v="327"/>
    <x v="8"/>
    <d v="2026-08-24T00:00:00"/>
    <n v="1962"/>
    <n v="5"/>
    <x v="0"/>
  </r>
  <r>
    <n v="54"/>
    <n v="126854"/>
    <s v="CUSTOMER54"/>
    <x v="0"/>
    <x v="9"/>
    <x v="0"/>
    <s v="TheTimesofIndia"/>
    <x v="0"/>
    <n v="28"/>
    <n v="27"/>
    <n v="27"/>
    <n v="27"/>
    <n v="28"/>
    <n v="28"/>
    <n v="28"/>
    <n v="28"/>
    <n v="27"/>
    <n v="28"/>
    <n v="28"/>
    <n v="28"/>
    <n v="332"/>
    <x v="6"/>
    <d v="2026-04-02T00:00:00"/>
    <n v="1992"/>
    <n v="3"/>
    <x v="1"/>
  </r>
  <r>
    <n v="55"/>
    <n v="126855"/>
    <s v="CUSTOMER55"/>
    <x v="0"/>
    <x v="2"/>
    <x v="1"/>
    <s v="Rajasthanpatrika"/>
    <x v="1"/>
    <n v="27"/>
    <n v="27"/>
    <n v="27"/>
    <n v="27"/>
    <n v="28"/>
    <n v="27"/>
    <n v="28"/>
    <n v="27"/>
    <n v="28"/>
    <n v="27"/>
    <n v="27"/>
    <n v="28"/>
    <n v="328"/>
    <x v="0"/>
    <d v="2026-03-15T00:00:00"/>
    <n v="1968"/>
    <n v="3"/>
    <x v="1"/>
  </r>
  <r>
    <n v="56"/>
    <n v="126856"/>
    <s v="CUSTOMER56"/>
    <x v="0"/>
    <x v="2"/>
    <x v="1"/>
    <s v="Rajasthanpatrika"/>
    <x v="0"/>
    <n v="28"/>
    <n v="27"/>
    <n v="27"/>
    <n v="28"/>
    <n v="28"/>
    <n v="27"/>
    <n v="28"/>
    <n v="27"/>
    <n v="28"/>
    <n v="28"/>
    <n v="28"/>
    <n v="27"/>
    <n v="331"/>
    <x v="0"/>
    <d v="2026-03-25T00:00:00"/>
    <n v="1986"/>
    <n v="5"/>
    <x v="1"/>
  </r>
  <r>
    <n v="57"/>
    <n v="126857"/>
    <s v="CUSTOMER57"/>
    <x v="0"/>
    <x v="8"/>
    <x v="0"/>
    <s v="PunjabKesri"/>
    <x v="2"/>
    <n v="28"/>
    <n v="27"/>
    <n v="28"/>
    <n v="28"/>
    <n v="28"/>
    <n v="28"/>
    <n v="27"/>
    <n v="28"/>
    <n v="27"/>
    <n v="28"/>
    <n v="28"/>
    <n v="27"/>
    <n v="332"/>
    <x v="2"/>
    <d v="2026-07-17T00:00:00"/>
    <n v="1992"/>
    <n v="5"/>
    <x v="0"/>
  </r>
  <r>
    <n v="58"/>
    <n v="126858"/>
    <s v="CUSTOMER58"/>
    <x v="0"/>
    <x v="5"/>
    <x v="0"/>
    <s v="PunjabKesri"/>
    <x v="0"/>
    <n v="28"/>
    <n v="28"/>
    <n v="28"/>
    <n v="27"/>
    <n v="27"/>
    <n v="28"/>
    <n v="27"/>
    <n v="28"/>
    <n v="28"/>
    <n v="28"/>
    <n v="27"/>
    <n v="28"/>
    <n v="332"/>
    <x v="6"/>
    <d v="2026-04-18T00:00:00"/>
    <n v="1992"/>
    <n v="3"/>
    <x v="1"/>
  </r>
  <r>
    <n v="59"/>
    <n v="126859"/>
    <s v="CUSTOMER59"/>
    <x v="1"/>
    <x v="5"/>
    <x v="0"/>
    <s v="PunjabKesri"/>
    <x v="2"/>
    <n v="27"/>
    <n v="27"/>
    <n v="28"/>
    <n v="28"/>
    <n v="27"/>
    <n v="28"/>
    <n v="27"/>
    <n v="27"/>
    <n v="27"/>
    <n v="28"/>
    <n v="28"/>
    <n v="28"/>
    <n v="330"/>
    <x v="3"/>
    <d v="2026-05-05T00:00:00"/>
    <n v="1980"/>
    <n v="4"/>
    <x v="0"/>
  </r>
  <r>
    <n v="60"/>
    <n v="126860"/>
    <s v="CUSTOMER60"/>
    <x v="1"/>
    <x v="7"/>
    <x v="1"/>
    <s v="TheTimesofIndia"/>
    <x v="1"/>
    <n v="27"/>
    <n v="27"/>
    <n v="27"/>
    <n v="27"/>
    <n v="27"/>
    <n v="28"/>
    <n v="27"/>
    <n v="27"/>
    <n v="27"/>
    <n v="27"/>
    <n v="28"/>
    <n v="27"/>
    <n v="326"/>
    <x v="5"/>
    <d v="2026-02-13T00:00:00"/>
    <n v="1956"/>
    <n v="5"/>
    <x v="0"/>
  </r>
  <r>
    <n v="61"/>
    <n v="126861"/>
    <s v="CUSTOMER61"/>
    <x v="0"/>
    <x v="5"/>
    <x v="0"/>
    <s v="TheTimesofIndia"/>
    <x v="0"/>
    <n v="28"/>
    <n v="27"/>
    <n v="27"/>
    <n v="27"/>
    <n v="27"/>
    <n v="27"/>
    <n v="27"/>
    <n v="27"/>
    <n v="27"/>
    <n v="28"/>
    <n v="28"/>
    <n v="27"/>
    <n v="327"/>
    <x v="0"/>
    <d v="2026-03-01T00:00:00"/>
    <n v="1962"/>
    <n v="4"/>
    <x v="0"/>
  </r>
  <r>
    <n v="62"/>
    <n v="126862"/>
    <s v="CUSTOMER62"/>
    <x v="0"/>
    <x v="7"/>
    <x v="1"/>
    <s v="TheTimesofIndia"/>
    <x v="1"/>
    <n v="28"/>
    <n v="28"/>
    <n v="27"/>
    <n v="28"/>
    <n v="28"/>
    <n v="27"/>
    <n v="28"/>
    <n v="28"/>
    <n v="28"/>
    <n v="27"/>
    <n v="28"/>
    <n v="27"/>
    <n v="332"/>
    <x v="4"/>
    <d v="2026-01-18T00:00:00"/>
    <n v="1992"/>
    <n v="3"/>
    <x v="1"/>
  </r>
  <r>
    <n v="63"/>
    <n v="126863"/>
    <s v="CUSTOMER63"/>
    <x v="0"/>
    <x v="0"/>
    <x v="0"/>
    <s v="PunjabKesri"/>
    <x v="2"/>
    <n v="28"/>
    <n v="27"/>
    <n v="28"/>
    <n v="28"/>
    <n v="27"/>
    <n v="27"/>
    <n v="27"/>
    <n v="28"/>
    <n v="27"/>
    <n v="27"/>
    <n v="28"/>
    <n v="28"/>
    <n v="330"/>
    <x v="2"/>
    <d v="2026-07-25T00:00:00"/>
    <n v="1980"/>
    <n v="5"/>
    <x v="1"/>
  </r>
  <r>
    <n v="64"/>
    <n v="126864"/>
    <s v="CUSTOMER64"/>
    <x v="0"/>
    <x v="5"/>
    <x v="0"/>
    <s v="TheTimesofIndia"/>
    <x v="2"/>
    <n v="28"/>
    <n v="27"/>
    <n v="27"/>
    <n v="28"/>
    <n v="28"/>
    <n v="28"/>
    <n v="28"/>
    <n v="28"/>
    <n v="27"/>
    <n v="27"/>
    <n v="27"/>
    <n v="28"/>
    <n v="331"/>
    <x v="6"/>
    <d v="2026-04-25T00:00:00"/>
    <n v="1986"/>
    <n v="3"/>
    <x v="0"/>
  </r>
  <r>
    <n v="65"/>
    <n v="126865"/>
    <s v="CUSTOMER65"/>
    <x v="0"/>
    <x v="3"/>
    <x v="0"/>
    <s v="DainikJagran"/>
    <x v="1"/>
    <n v="27"/>
    <n v="28"/>
    <n v="28"/>
    <n v="27"/>
    <n v="27"/>
    <n v="27"/>
    <n v="27"/>
    <n v="28"/>
    <n v="28"/>
    <n v="28"/>
    <n v="28"/>
    <n v="28"/>
    <n v="331"/>
    <x v="7"/>
    <d v="2026-09-30T00:00:00"/>
    <n v="1986"/>
    <n v="3"/>
    <x v="0"/>
  </r>
  <r>
    <n v="66"/>
    <n v="126866"/>
    <s v="CUSTOMER66"/>
    <x v="1"/>
    <x v="4"/>
    <x v="0"/>
    <s v="Rajasthanpatrika"/>
    <x v="0"/>
    <n v="27"/>
    <n v="27"/>
    <n v="28"/>
    <n v="27"/>
    <n v="28"/>
    <n v="28"/>
    <n v="28"/>
    <n v="28"/>
    <n v="28"/>
    <n v="28"/>
    <n v="27"/>
    <n v="27"/>
    <n v="331"/>
    <x v="4"/>
    <d v="2026-01-24T00:00:00"/>
    <n v="1986"/>
    <n v="5"/>
    <x v="0"/>
  </r>
  <r>
    <n v="67"/>
    <n v="126867"/>
    <s v="CUSTOMER67"/>
    <x v="0"/>
    <x v="0"/>
    <x v="0"/>
    <s v="TheTimesofIndia"/>
    <x v="1"/>
    <n v="28"/>
    <n v="28"/>
    <n v="28"/>
    <n v="27"/>
    <n v="27"/>
    <n v="28"/>
    <n v="27"/>
    <n v="28"/>
    <n v="28"/>
    <n v="28"/>
    <n v="28"/>
    <n v="28"/>
    <n v="333"/>
    <x v="4"/>
    <d v="2026-01-09T00:00:00"/>
    <n v="1998"/>
    <n v="4"/>
    <x v="0"/>
  </r>
  <r>
    <n v="68"/>
    <n v="126868"/>
    <s v="CUSTOMER68"/>
    <x v="0"/>
    <x v="5"/>
    <x v="0"/>
    <s v="TheTimesofIndia"/>
    <x v="1"/>
    <n v="28"/>
    <n v="28"/>
    <n v="28"/>
    <n v="27"/>
    <n v="27"/>
    <n v="27"/>
    <n v="27"/>
    <n v="27"/>
    <n v="27"/>
    <n v="28"/>
    <n v="28"/>
    <n v="28"/>
    <n v="330"/>
    <x v="6"/>
    <d v="2026-04-26T00:00:00"/>
    <n v="1980"/>
    <n v="5"/>
    <x v="1"/>
  </r>
  <r>
    <n v="69"/>
    <n v="126869"/>
    <s v="CUSTOMER69"/>
    <x v="0"/>
    <x v="8"/>
    <x v="0"/>
    <s v="DainikBhaskar"/>
    <x v="0"/>
    <n v="28"/>
    <n v="27"/>
    <n v="28"/>
    <n v="27"/>
    <n v="28"/>
    <n v="27"/>
    <n v="27"/>
    <n v="28"/>
    <n v="28"/>
    <n v="27"/>
    <n v="28"/>
    <n v="27"/>
    <n v="330"/>
    <x v="4"/>
    <d v="2026-01-26T00:00:00"/>
    <n v="1980"/>
    <n v="5"/>
    <x v="1"/>
  </r>
  <r>
    <n v="70"/>
    <n v="126870"/>
    <s v="CUSTOMER70"/>
    <x v="1"/>
    <x v="7"/>
    <x v="1"/>
    <s v="DainikBhaskar"/>
    <x v="0"/>
    <n v="28"/>
    <n v="27"/>
    <n v="28"/>
    <n v="28"/>
    <n v="27"/>
    <n v="27"/>
    <n v="27"/>
    <n v="27"/>
    <n v="27"/>
    <n v="27"/>
    <n v="27"/>
    <n v="28"/>
    <n v="328"/>
    <x v="1"/>
    <d v="2026-06-21T00:00:00"/>
    <n v="1968"/>
    <n v="3"/>
    <x v="0"/>
  </r>
  <r>
    <n v="71"/>
    <n v="126871"/>
    <s v="CUSTOMER71"/>
    <x v="0"/>
    <x v="4"/>
    <x v="0"/>
    <s v="DainikJagran"/>
    <x v="2"/>
    <n v="27"/>
    <n v="27"/>
    <n v="28"/>
    <n v="28"/>
    <n v="27"/>
    <n v="28"/>
    <n v="28"/>
    <n v="28"/>
    <n v="28"/>
    <n v="27"/>
    <n v="27"/>
    <n v="28"/>
    <n v="331"/>
    <x v="5"/>
    <d v="2026-02-02T00:00:00"/>
    <n v="1986"/>
    <n v="3"/>
    <x v="1"/>
  </r>
  <r>
    <n v="72"/>
    <n v="126872"/>
    <s v="CUSTOMER72"/>
    <x v="1"/>
    <x v="0"/>
    <x v="0"/>
    <s v="TheTimesofIndia"/>
    <x v="0"/>
    <n v="27"/>
    <n v="28"/>
    <n v="27"/>
    <n v="27"/>
    <n v="27"/>
    <n v="27"/>
    <n v="27"/>
    <n v="28"/>
    <n v="27"/>
    <n v="27"/>
    <n v="28"/>
    <n v="27"/>
    <n v="327"/>
    <x v="8"/>
    <d v="2026-08-18T00:00:00"/>
    <n v="1962"/>
    <n v="5"/>
    <x v="1"/>
  </r>
  <r>
    <n v="73"/>
    <n v="126873"/>
    <s v="CUSTOMER73"/>
    <x v="1"/>
    <x v="6"/>
    <x v="0"/>
    <s v="TheTimesofIndia"/>
    <x v="2"/>
    <n v="27"/>
    <n v="27"/>
    <n v="28"/>
    <n v="27"/>
    <n v="27"/>
    <n v="27"/>
    <n v="28"/>
    <n v="27"/>
    <n v="28"/>
    <n v="28"/>
    <n v="28"/>
    <n v="28"/>
    <n v="330"/>
    <x v="8"/>
    <d v="2026-08-13T00:00:00"/>
    <n v="1980"/>
    <n v="3"/>
    <x v="0"/>
  </r>
  <r>
    <n v="74"/>
    <n v="126874"/>
    <s v="CUSTOMER74"/>
    <x v="0"/>
    <x v="2"/>
    <x v="1"/>
    <s v="DainikJagran"/>
    <x v="1"/>
    <n v="28"/>
    <n v="28"/>
    <n v="28"/>
    <n v="28"/>
    <n v="28"/>
    <n v="28"/>
    <n v="27"/>
    <n v="27"/>
    <n v="28"/>
    <n v="28"/>
    <n v="28"/>
    <n v="27"/>
    <n v="333"/>
    <x v="7"/>
    <d v="2026-09-16T00:00:00"/>
    <n v="1998"/>
    <n v="5"/>
    <x v="1"/>
  </r>
  <r>
    <n v="75"/>
    <n v="126875"/>
    <s v="CUSTOMER75"/>
    <x v="0"/>
    <x v="1"/>
    <x v="0"/>
    <s v="DainikJagran"/>
    <x v="1"/>
    <n v="28"/>
    <n v="27"/>
    <n v="28"/>
    <n v="27"/>
    <n v="28"/>
    <n v="28"/>
    <n v="28"/>
    <n v="27"/>
    <n v="27"/>
    <n v="28"/>
    <n v="28"/>
    <n v="27"/>
    <n v="331"/>
    <x v="5"/>
    <d v="2026-02-14T00:00:00"/>
    <n v="1986"/>
    <n v="4"/>
    <x v="0"/>
  </r>
  <r>
    <n v="76"/>
    <n v="126876"/>
    <s v="CUSTOMER76"/>
    <x v="0"/>
    <x v="3"/>
    <x v="0"/>
    <s v="PunjabKesri"/>
    <x v="1"/>
    <n v="27"/>
    <n v="27"/>
    <n v="28"/>
    <n v="27"/>
    <n v="27"/>
    <n v="27"/>
    <n v="27"/>
    <n v="28"/>
    <n v="28"/>
    <n v="28"/>
    <n v="27"/>
    <n v="28"/>
    <n v="329"/>
    <x v="6"/>
    <d v="2026-04-08T00:00:00"/>
    <n v="1974"/>
    <n v="4"/>
    <x v="0"/>
  </r>
  <r>
    <n v="77"/>
    <n v="126877"/>
    <s v="CUSTOMER77"/>
    <x v="0"/>
    <x v="0"/>
    <x v="0"/>
    <s v="Rajasthanpatrika"/>
    <x v="1"/>
    <n v="27"/>
    <n v="28"/>
    <n v="28"/>
    <n v="28"/>
    <n v="27"/>
    <n v="27"/>
    <n v="27"/>
    <n v="27"/>
    <n v="27"/>
    <n v="27"/>
    <n v="28"/>
    <n v="28"/>
    <n v="329"/>
    <x v="0"/>
    <d v="2026-03-14T00:00:00"/>
    <n v="1974"/>
    <n v="3"/>
    <x v="1"/>
  </r>
  <r>
    <n v="78"/>
    <n v="126878"/>
    <s v="CUSTOMER78"/>
    <x v="0"/>
    <x v="1"/>
    <x v="0"/>
    <s v="DainikJagran"/>
    <x v="0"/>
    <n v="27"/>
    <n v="27"/>
    <n v="28"/>
    <n v="28"/>
    <n v="28"/>
    <n v="27"/>
    <n v="27"/>
    <n v="27"/>
    <n v="27"/>
    <n v="28"/>
    <n v="28"/>
    <n v="28"/>
    <n v="330"/>
    <x v="4"/>
    <d v="2026-01-30T00:00:00"/>
    <n v="1980"/>
    <n v="4"/>
    <x v="1"/>
  </r>
  <r>
    <n v="79"/>
    <n v="126879"/>
    <s v="CUSTOMER79"/>
    <x v="0"/>
    <x v="1"/>
    <x v="0"/>
    <s v="PunjabKesri"/>
    <x v="2"/>
    <n v="27"/>
    <n v="28"/>
    <n v="28"/>
    <n v="27"/>
    <n v="28"/>
    <n v="28"/>
    <n v="27"/>
    <n v="27"/>
    <n v="28"/>
    <n v="27"/>
    <n v="28"/>
    <n v="27"/>
    <n v="330"/>
    <x v="6"/>
    <d v="2026-04-28T00:00:00"/>
    <n v="1980"/>
    <n v="4"/>
    <x v="1"/>
  </r>
  <r>
    <n v="80"/>
    <n v="126880"/>
    <s v="CUSTOMER80"/>
    <x v="0"/>
    <x v="8"/>
    <x v="0"/>
    <s v="Rajasthanpatrika"/>
    <x v="1"/>
    <n v="28"/>
    <n v="27"/>
    <n v="27"/>
    <n v="27"/>
    <n v="27"/>
    <n v="27"/>
    <n v="28"/>
    <n v="28"/>
    <n v="27"/>
    <n v="28"/>
    <n v="27"/>
    <n v="28"/>
    <n v="329"/>
    <x v="7"/>
    <d v="2026-09-29T00:00:00"/>
    <n v="1974"/>
    <n v="5"/>
    <x v="0"/>
  </r>
  <r>
    <n v="81"/>
    <n v="126881"/>
    <s v="CUSTOMER81"/>
    <x v="1"/>
    <x v="5"/>
    <x v="0"/>
    <s v="Rajasthanpatrika"/>
    <x v="2"/>
    <n v="28"/>
    <n v="28"/>
    <n v="27"/>
    <n v="27"/>
    <n v="28"/>
    <n v="28"/>
    <n v="27"/>
    <n v="27"/>
    <n v="27"/>
    <n v="27"/>
    <n v="27"/>
    <n v="28"/>
    <n v="329"/>
    <x v="3"/>
    <d v="2026-05-16T00:00:00"/>
    <n v="1974"/>
    <n v="4"/>
    <x v="1"/>
  </r>
  <r>
    <n v="82"/>
    <n v="126882"/>
    <s v="CUSTOMER82"/>
    <x v="1"/>
    <x v="9"/>
    <x v="0"/>
    <s v="TheTimesofIndia"/>
    <x v="1"/>
    <n v="27"/>
    <n v="28"/>
    <n v="28"/>
    <n v="28"/>
    <n v="28"/>
    <n v="27"/>
    <n v="27"/>
    <n v="27"/>
    <n v="28"/>
    <n v="28"/>
    <n v="27"/>
    <n v="27"/>
    <n v="330"/>
    <x v="2"/>
    <d v="2026-07-19T00:00:00"/>
    <n v="1980"/>
    <n v="4"/>
    <x v="0"/>
  </r>
  <r>
    <n v="83"/>
    <n v="126883"/>
    <s v="CUSTOMER83"/>
    <x v="0"/>
    <x v="0"/>
    <x v="0"/>
    <s v="PunjabKesri"/>
    <x v="0"/>
    <n v="27"/>
    <n v="27"/>
    <n v="28"/>
    <n v="27"/>
    <n v="27"/>
    <n v="27"/>
    <n v="27"/>
    <n v="28"/>
    <n v="27"/>
    <n v="28"/>
    <n v="28"/>
    <n v="27"/>
    <n v="328"/>
    <x v="7"/>
    <d v="2026-09-14T00:00:00"/>
    <n v="1968"/>
    <n v="5"/>
    <x v="1"/>
  </r>
  <r>
    <n v="84"/>
    <n v="126884"/>
    <s v="CUSTOMER84"/>
    <x v="0"/>
    <x v="3"/>
    <x v="0"/>
    <s v="DainikJagran"/>
    <x v="2"/>
    <n v="27"/>
    <n v="27"/>
    <n v="28"/>
    <n v="28"/>
    <n v="27"/>
    <n v="27"/>
    <n v="27"/>
    <n v="28"/>
    <n v="27"/>
    <n v="27"/>
    <n v="27"/>
    <n v="28"/>
    <n v="328"/>
    <x v="4"/>
    <d v="2026-01-30T00:00:00"/>
    <n v="1968"/>
    <n v="5"/>
    <x v="1"/>
  </r>
  <r>
    <n v="85"/>
    <n v="126885"/>
    <s v="CUSTOMER85"/>
    <x v="0"/>
    <x v="0"/>
    <x v="0"/>
    <s v="Rajasthanpatrika"/>
    <x v="0"/>
    <n v="27"/>
    <n v="27"/>
    <n v="28"/>
    <n v="27"/>
    <n v="28"/>
    <n v="27"/>
    <n v="28"/>
    <n v="27"/>
    <n v="27"/>
    <n v="28"/>
    <n v="27"/>
    <n v="28"/>
    <n v="329"/>
    <x v="2"/>
    <d v="2026-07-19T00:00:00"/>
    <n v="1974"/>
    <n v="3"/>
    <x v="1"/>
  </r>
  <r>
    <n v="86"/>
    <n v="126886"/>
    <s v="CUSTOMER86"/>
    <x v="0"/>
    <x v="8"/>
    <x v="0"/>
    <s v="TheTimesofIndia"/>
    <x v="1"/>
    <n v="28"/>
    <n v="28"/>
    <n v="28"/>
    <n v="27"/>
    <n v="28"/>
    <n v="28"/>
    <n v="28"/>
    <n v="28"/>
    <n v="27"/>
    <n v="27"/>
    <n v="28"/>
    <n v="28"/>
    <n v="333"/>
    <x v="3"/>
    <d v="2026-05-04T00:00:00"/>
    <n v="1998"/>
    <n v="3"/>
    <x v="0"/>
  </r>
  <r>
    <n v="87"/>
    <n v="126887"/>
    <s v="CUSTOMER87"/>
    <x v="0"/>
    <x v="9"/>
    <x v="0"/>
    <s v="TheTimesofIndia"/>
    <x v="1"/>
    <n v="28"/>
    <n v="28"/>
    <n v="27"/>
    <n v="28"/>
    <n v="28"/>
    <n v="27"/>
    <n v="27"/>
    <n v="27"/>
    <n v="28"/>
    <n v="27"/>
    <n v="27"/>
    <n v="28"/>
    <n v="330"/>
    <x v="6"/>
    <d v="2026-04-01T00:00:00"/>
    <n v="1980"/>
    <n v="4"/>
    <x v="0"/>
  </r>
  <r>
    <n v="88"/>
    <n v="126888"/>
    <s v="CUSTOMER88"/>
    <x v="1"/>
    <x v="1"/>
    <x v="0"/>
    <s v="DainikJagran"/>
    <x v="2"/>
    <n v="27"/>
    <n v="27"/>
    <n v="27"/>
    <n v="28"/>
    <n v="27"/>
    <n v="27"/>
    <n v="27"/>
    <n v="27"/>
    <n v="27"/>
    <n v="28"/>
    <n v="28"/>
    <n v="28"/>
    <n v="328"/>
    <x v="3"/>
    <d v="2026-05-29T00:00:00"/>
    <n v="1968"/>
    <n v="3"/>
    <x v="1"/>
  </r>
  <r>
    <n v="89"/>
    <n v="126889"/>
    <s v="CUSTOMER89"/>
    <x v="0"/>
    <x v="7"/>
    <x v="1"/>
    <s v="TheTimesofIndia"/>
    <x v="1"/>
    <n v="28"/>
    <n v="27"/>
    <n v="27"/>
    <n v="28"/>
    <n v="27"/>
    <n v="28"/>
    <n v="27"/>
    <n v="27"/>
    <n v="27"/>
    <n v="28"/>
    <n v="28"/>
    <n v="27"/>
    <n v="329"/>
    <x v="0"/>
    <d v="2026-03-30T00:00:00"/>
    <n v="1974"/>
    <n v="4"/>
    <x v="1"/>
  </r>
  <r>
    <n v="90"/>
    <n v="126890"/>
    <s v="CUSTOMER90"/>
    <x v="0"/>
    <x v="4"/>
    <x v="0"/>
    <s v="PunjabKesri"/>
    <x v="1"/>
    <n v="28"/>
    <n v="27"/>
    <n v="28"/>
    <n v="28"/>
    <n v="28"/>
    <n v="27"/>
    <n v="27"/>
    <n v="28"/>
    <n v="27"/>
    <n v="27"/>
    <n v="28"/>
    <n v="27"/>
    <n v="330"/>
    <x v="6"/>
    <d v="2026-04-24T00:00:00"/>
    <n v="1980"/>
    <n v="3"/>
    <x v="1"/>
  </r>
  <r>
    <n v="91"/>
    <n v="126891"/>
    <s v="CUSTOMER91"/>
    <x v="0"/>
    <x v="7"/>
    <x v="1"/>
    <s v="TheTimesofIndia"/>
    <x v="0"/>
    <n v="28"/>
    <n v="28"/>
    <n v="28"/>
    <n v="28"/>
    <n v="28"/>
    <n v="27"/>
    <n v="28"/>
    <n v="28"/>
    <n v="27"/>
    <n v="27"/>
    <n v="28"/>
    <n v="27"/>
    <n v="332"/>
    <x v="2"/>
    <d v="2026-07-25T00:00:00"/>
    <n v="1992"/>
    <n v="4"/>
    <x v="0"/>
  </r>
  <r>
    <n v="92"/>
    <n v="126892"/>
    <s v="CUSTOMER92"/>
    <x v="1"/>
    <x v="6"/>
    <x v="0"/>
    <s v="Rajasthanpatrika"/>
    <x v="0"/>
    <n v="28"/>
    <n v="27"/>
    <n v="27"/>
    <n v="27"/>
    <n v="27"/>
    <n v="28"/>
    <n v="27"/>
    <n v="27"/>
    <n v="28"/>
    <n v="27"/>
    <n v="27"/>
    <n v="27"/>
    <n v="327"/>
    <x v="1"/>
    <d v="2026-06-25T00:00:00"/>
    <n v="1962"/>
    <n v="5"/>
    <x v="0"/>
  </r>
  <r>
    <n v="93"/>
    <n v="126893"/>
    <s v="CUSTOMER93"/>
    <x v="0"/>
    <x v="1"/>
    <x v="0"/>
    <s v="DainikJagran"/>
    <x v="2"/>
    <n v="27"/>
    <n v="27"/>
    <n v="28"/>
    <n v="28"/>
    <n v="28"/>
    <n v="28"/>
    <n v="27"/>
    <n v="28"/>
    <n v="27"/>
    <n v="27"/>
    <n v="27"/>
    <n v="28"/>
    <n v="330"/>
    <x v="0"/>
    <d v="2026-03-06T00:00:00"/>
    <n v="1980"/>
    <n v="5"/>
    <x v="0"/>
  </r>
  <r>
    <n v="94"/>
    <n v="126894"/>
    <s v="CUSTOMER94"/>
    <x v="1"/>
    <x v="0"/>
    <x v="0"/>
    <s v="TheTimesofIndia"/>
    <x v="1"/>
    <n v="27"/>
    <n v="27"/>
    <n v="28"/>
    <n v="28"/>
    <n v="28"/>
    <n v="27"/>
    <n v="27"/>
    <n v="28"/>
    <n v="27"/>
    <n v="28"/>
    <n v="28"/>
    <n v="28"/>
    <n v="331"/>
    <x v="3"/>
    <d v="2026-05-11T00:00:00"/>
    <n v="1986"/>
    <n v="5"/>
    <x v="0"/>
  </r>
  <r>
    <n v="95"/>
    <n v="126895"/>
    <s v="CUSTOMER95"/>
    <x v="1"/>
    <x v="7"/>
    <x v="1"/>
    <s v="DainikJagran"/>
    <x v="0"/>
    <n v="27"/>
    <n v="27"/>
    <n v="28"/>
    <n v="27"/>
    <n v="27"/>
    <n v="27"/>
    <n v="27"/>
    <n v="28"/>
    <n v="27"/>
    <n v="28"/>
    <n v="28"/>
    <n v="28"/>
    <n v="329"/>
    <x v="7"/>
    <d v="2026-09-25T00:00:00"/>
    <n v="1974"/>
    <n v="4"/>
    <x v="0"/>
  </r>
  <r>
    <n v="96"/>
    <n v="126896"/>
    <s v="CUSTOMER96"/>
    <x v="0"/>
    <x v="0"/>
    <x v="0"/>
    <s v="PunjabKesri"/>
    <x v="2"/>
    <n v="28"/>
    <n v="28"/>
    <n v="28"/>
    <n v="27"/>
    <n v="27"/>
    <n v="28"/>
    <n v="27"/>
    <n v="28"/>
    <n v="27"/>
    <n v="28"/>
    <n v="28"/>
    <n v="28"/>
    <n v="332"/>
    <x v="3"/>
    <d v="2026-05-02T00:00:00"/>
    <n v="1992"/>
    <n v="4"/>
    <x v="1"/>
  </r>
  <r>
    <n v="97"/>
    <n v="126897"/>
    <s v="CUSTOMER97"/>
    <x v="0"/>
    <x v="2"/>
    <x v="1"/>
    <s v="TheTimesofIndia"/>
    <x v="1"/>
    <n v="27"/>
    <n v="27"/>
    <n v="28"/>
    <n v="27"/>
    <n v="27"/>
    <n v="27"/>
    <n v="27"/>
    <n v="28"/>
    <n v="27"/>
    <n v="27"/>
    <n v="28"/>
    <n v="27"/>
    <n v="327"/>
    <x v="8"/>
    <d v="2026-08-12T00:00:00"/>
    <n v="1962"/>
    <n v="4"/>
    <x v="0"/>
  </r>
  <r>
    <n v="98"/>
    <n v="126898"/>
    <s v="CUSTOMER98"/>
    <x v="0"/>
    <x v="0"/>
    <x v="0"/>
    <s v="Rajasthanpatrika"/>
    <x v="0"/>
    <n v="28"/>
    <n v="28"/>
    <n v="27"/>
    <n v="27"/>
    <n v="27"/>
    <n v="28"/>
    <n v="27"/>
    <n v="27"/>
    <n v="28"/>
    <n v="28"/>
    <n v="28"/>
    <n v="28"/>
    <n v="331"/>
    <x v="1"/>
    <d v="2026-06-29T00:00:00"/>
    <n v="1986"/>
    <n v="5"/>
    <x v="1"/>
  </r>
  <r>
    <n v="99"/>
    <n v="126899"/>
    <s v="CUSTOMER99"/>
    <x v="0"/>
    <x v="8"/>
    <x v="0"/>
    <s v="TheTimesofIndia"/>
    <x v="0"/>
    <n v="28"/>
    <n v="28"/>
    <n v="28"/>
    <n v="27"/>
    <n v="28"/>
    <n v="28"/>
    <n v="28"/>
    <n v="28"/>
    <n v="28"/>
    <n v="27"/>
    <n v="28"/>
    <n v="27"/>
    <n v="333"/>
    <x v="1"/>
    <d v="2026-06-02T00:00:00"/>
    <n v="1998"/>
    <n v="3"/>
    <x v="1"/>
  </r>
  <r>
    <n v="100"/>
    <n v="126900"/>
    <s v="CUSTOMER100"/>
    <x v="0"/>
    <x v="2"/>
    <x v="1"/>
    <s v="DainikJagran"/>
    <x v="1"/>
    <n v="27"/>
    <n v="27"/>
    <n v="28"/>
    <n v="28"/>
    <n v="28"/>
    <n v="28"/>
    <n v="27"/>
    <n v="28"/>
    <n v="28"/>
    <n v="27"/>
    <n v="28"/>
    <n v="28"/>
    <n v="332"/>
    <x v="6"/>
    <d v="2026-04-10T00:00:00"/>
    <n v="1992"/>
    <n v="5"/>
    <x v="0"/>
  </r>
  <r>
    <n v="101"/>
    <n v="126901"/>
    <s v="CUSTOMER101"/>
    <x v="0"/>
    <x v="10"/>
    <x v="2"/>
    <s v="DainikBhaskar"/>
    <x v="2"/>
    <n v="27"/>
    <n v="27"/>
    <n v="27"/>
    <n v="28"/>
    <n v="28"/>
    <n v="28"/>
    <n v="27"/>
    <n v="28"/>
    <n v="27"/>
    <n v="28"/>
    <n v="27"/>
    <n v="27"/>
    <n v="329"/>
    <x v="5"/>
    <d v="2026-02-03T00:00:00"/>
    <n v="1974"/>
    <n v="3"/>
    <x v="0"/>
  </r>
  <r>
    <n v="102"/>
    <n v="126902"/>
    <s v="CUSTOMER102"/>
    <x v="0"/>
    <x v="11"/>
    <x v="2"/>
    <s v="DainikJagran"/>
    <x v="1"/>
    <n v="28"/>
    <n v="27"/>
    <n v="28"/>
    <n v="27"/>
    <n v="27"/>
    <n v="27"/>
    <n v="28"/>
    <n v="27"/>
    <n v="27"/>
    <n v="27"/>
    <n v="27"/>
    <n v="27"/>
    <n v="327"/>
    <x v="7"/>
    <d v="2026-09-13T00:00:00"/>
    <n v="1962"/>
    <n v="5"/>
    <x v="0"/>
  </r>
  <r>
    <n v="103"/>
    <n v="126903"/>
    <s v="CUSTOMER103"/>
    <x v="0"/>
    <x v="3"/>
    <x v="0"/>
    <s v="PunjabKesri"/>
    <x v="2"/>
    <n v="28"/>
    <n v="28"/>
    <n v="28"/>
    <n v="28"/>
    <n v="27"/>
    <n v="28"/>
    <n v="27"/>
    <n v="27"/>
    <n v="28"/>
    <n v="28"/>
    <n v="28"/>
    <n v="28"/>
    <n v="333"/>
    <x v="6"/>
    <d v="2026-04-01T00:00:00"/>
    <n v="1998"/>
    <n v="4"/>
    <x v="1"/>
  </r>
  <r>
    <n v="104"/>
    <n v="126904"/>
    <s v="CUSTOMER104"/>
    <x v="1"/>
    <x v="12"/>
    <x v="1"/>
    <s v="DainikBhaskar"/>
    <x v="0"/>
    <n v="28"/>
    <n v="28"/>
    <n v="28"/>
    <n v="27"/>
    <n v="28"/>
    <n v="27"/>
    <n v="28"/>
    <n v="27"/>
    <n v="27"/>
    <n v="28"/>
    <n v="28"/>
    <n v="27"/>
    <n v="331"/>
    <x v="1"/>
    <d v="2026-06-20T00:00:00"/>
    <n v="1986"/>
    <n v="4"/>
    <x v="0"/>
  </r>
  <r>
    <n v="105"/>
    <n v="126905"/>
    <s v="CUSTOMER105"/>
    <x v="0"/>
    <x v="13"/>
    <x v="1"/>
    <s v="DainikJagran"/>
    <x v="2"/>
    <n v="27"/>
    <n v="27"/>
    <n v="27"/>
    <n v="27"/>
    <n v="27"/>
    <n v="27"/>
    <n v="28"/>
    <n v="27"/>
    <n v="28"/>
    <n v="28"/>
    <n v="27"/>
    <n v="27"/>
    <n v="327"/>
    <x v="6"/>
    <d v="2026-04-28T00:00:00"/>
    <n v="1962"/>
    <n v="4"/>
    <x v="1"/>
  </r>
  <r>
    <n v="106"/>
    <n v="126906"/>
    <s v="CUSTOMER106"/>
    <x v="1"/>
    <x v="14"/>
    <x v="2"/>
    <s v="DainikBhaskar"/>
    <x v="1"/>
    <n v="27"/>
    <n v="28"/>
    <n v="28"/>
    <n v="27"/>
    <n v="28"/>
    <n v="27"/>
    <n v="28"/>
    <n v="28"/>
    <n v="27"/>
    <n v="28"/>
    <n v="27"/>
    <n v="28"/>
    <n v="331"/>
    <x v="7"/>
    <d v="2026-09-10T00:00:00"/>
    <n v="1986"/>
    <n v="5"/>
    <x v="0"/>
  </r>
  <r>
    <n v="107"/>
    <n v="126907"/>
    <s v="CUSTOMER107"/>
    <x v="1"/>
    <x v="15"/>
    <x v="1"/>
    <s v="DainikBhaskar"/>
    <x v="1"/>
    <n v="28"/>
    <n v="28"/>
    <n v="28"/>
    <n v="28"/>
    <n v="27"/>
    <n v="28"/>
    <n v="28"/>
    <n v="28"/>
    <n v="28"/>
    <n v="28"/>
    <n v="28"/>
    <n v="27"/>
    <n v="334"/>
    <x v="6"/>
    <d v="2026-04-13T00:00:00"/>
    <n v="2004"/>
    <n v="4"/>
    <x v="1"/>
  </r>
  <r>
    <n v="108"/>
    <n v="126908"/>
    <s v="CUSTOMER108"/>
    <x v="0"/>
    <x v="12"/>
    <x v="1"/>
    <s v="DainikBhaskar"/>
    <x v="2"/>
    <n v="28"/>
    <n v="28"/>
    <n v="28"/>
    <n v="27"/>
    <n v="27"/>
    <n v="27"/>
    <n v="28"/>
    <n v="27"/>
    <n v="27"/>
    <n v="27"/>
    <n v="27"/>
    <n v="27"/>
    <n v="328"/>
    <x v="0"/>
    <d v="2026-03-12T00:00:00"/>
    <n v="1968"/>
    <n v="3"/>
    <x v="0"/>
  </r>
  <r>
    <n v="109"/>
    <n v="126909"/>
    <s v="CUSTOMER109"/>
    <x v="0"/>
    <x v="1"/>
    <x v="0"/>
    <s v="DainikBhaskar"/>
    <x v="0"/>
    <n v="28"/>
    <n v="27"/>
    <n v="28"/>
    <n v="28"/>
    <n v="28"/>
    <n v="28"/>
    <n v="27"/>
    <n v="27"/>
    <n v="27"/>
    <n v="27"/>
    <n v="28"/>
    <n v="27"/>
    <n v="330"/>
    <x v="8"/>
    <d v="2026-08-07T00:00:00"/>
    <n v="1980"/>
    <n v="4"/>
    <x v="1"/>
  </r>
  <r>
    <n v="110"/>
    <n v="126910"/>
    <s v="CUSTOMER110"/>
    <x v="0"/>
    <x v="9"/>
    <x v="0"/>
    <s v="Rajasthanpatrika"/>
    <x v="2"/>
    <n v="28"/>
    <n v="27"/>
    <n v="27"/>
    <n v="27"/>
    <n v="27"/>
    <n v="28"/>
    <n v="27"/>
    <n v="28"/>
    <n v="27"/>
    <n v="28"/>
    <n v="27"/>
    <n v="28"/>
    <n v="329"/>
    <x v="8"/>
    <d v="2026-08-02T00:00:00"/>
    <n v="1974"/>
    <n v="4"/>
    <x v="1"/>
  </r>
  <r>
    <n v="111"/>
    <n v="126911"/>
    <s v="CUSTOMER111"/>
    <x v="0"/>
    <x v="14"/>
    <x v="2"/>
    <s v="TheTimesofIndia"/>
    <x v="0"/>
    <n v="27"/>
    <n v="28"/>
    <n v="28"/>
    <n v="27"/>
    <n v="27"/>
    <n v="27"/>
    <n v="27"/>
    <n v="27"/>
    <n v="27"/>
    <n v="27"/>
    <n v="27"/>
    <n v="28"/>
    <n v="327"/>
    <x v="8"/>
    <d v="2026-08-06T00:00:00"/>
    <n v="1962"/>
    <n v="4"/>
    <x v="0"/>
  </r>
  <r>
    <n v="112"/>
    <n v="126912"/>
    <s v="CUSTOMER112"/>
    <x v="0"/>
    <x v="14"/>
    <x v="2"/>
    <s v="PunjabKesri"/>
    <x v="1"/>
    <n v="27"/>
    <n v="28"/>
    <n v="28"/>
    <n v="28"/>
    <n v="27"/>
    <n v="28"/>
    <n v="28"/>
    <n v="28"/>
    <n v="27"/>
    <n v="27"/>
    <n v="27"/>
    <n v="27"/>
    <n v="330"/>
    <x v="5"/>
    <d v="2026-02-04T00:00:00"/>
    <n v="1980"/>
    <n v="4"/>
    <x v="1"/>
  </r>
  <r>
    <n v="113"/>
    <n v="126913"/>
    <s v="CUSTOMER113"/>
    <x v="0"/>
    <x v="10"/>
    <x v="2"/>
    <s v="TheTimesofIndia"/>
    <x v="0"/>
    <n v="27"/>
    <n v="28"/>
    <n v="27"/>
    <n v="28"/>
    <n v="28"/>
    <n v="27"/>
    <n v="28"/>
    <n v="28"/>
    <n v="27"/>
    <n v="27"/>
    <n v="28"/>
    <n v="28"/>
    <n v="331"/>
    <x v="1"/>
    <d v="2026-06-10T00:00:00"/>
    <n v="1986"/>
    <n v="3"/>
    <x v="1"/>
  </r>
  <r>
    <n v="114"/>
    <n v="126914"/>
    <s v="CUSTOMER114"/>
    <x v="0"/>
    <x v="12"/>
    <x v="1"/>
    <s v="TheTimesofIndia"/>
    <x v="0"/>
    <n v="28"/>
    <n v="27"/>
    <n v="28"/>
    <n v="28"/>
    <n v="28"/>
    <n v="28"/>
    <n v="27"/>
    <n v="28"/>
    <n v="28"/>
    <n v="28"/>
    <n v="28"/>
    <n v="27"/>
    <n v="333"/>
    <x v="2"/>
    <d v="2026-07-07T00:00:00"/>
    <n v="1998"/>
    <n v="5"/>
    <x v="0"/>
  </r>
  <r>
    <n v="115"/>
    <n v="126915"/>
    <s v="CUSTOMER115"/>
    <x v="1"/>
    <x v="15"/>
    <x v="1"/>
    <s v="TheTimesofIndia"/>
    <x v="2"/>
    <n v="28"/>
    <n v="27"/>
    <n v="27"/>
    <n v="28"/>
    <n v="28"/>
    <n v="27"/>
    <n v="27"/>
    <n v="28"/>
    <n v="28"/>
    <n v="28"/>
    <n v="28"/>
    <n v="28"/>
    <n v="332"/>
    <x v="0"/>
    <d v="2026-03-30T00:00:00"/>
    <n v="1992"/>
    <n v="3"/>
    <x v="0"/>
  </r>
  <r>
    <n v="116"/>
    <n v="126916"/>
    <s v="CUSTOMER116"/>
    <x v="1"/>
    <x v="16"/>
    <x v="1"/>
    <s v="Rajasthanpatrika"/>
    <x v="0"/>
    <n v="28"/>
    <n v="27"/>
    <n v="27"/>
    <n v="27"/>
    <n v="27"/>
    <n v="27"/>
    <n v="27"/>
    <n v="28"/>
    <n v="28"/>
    <n v="28"/>
    <n v="28"/>
    <n v="28"/>
    <n v="330"/>
    <x v="1"/>
    <d v="2026-06-10T00:00:00"/>
    <n v="1980"/>
    <n v="4"/>
    <x v="1"/>
  </r>
  <r>
    <n v="117"/>
    <n v="126917"/>
    <s v="CUSTOMER117"/>
    <x v="0"/>
    <x v="0"/>
    <x v="0"/>
    <s v="Rajasthanpatrika"/>
    <x v="2"/>
    <n v="28"/>
    <n v="27"/>
    <n v="27"/>
    <n v="28"/>
    <n v="27"/>
    <n v="27"/>
    <n v="28"/>
    <n v="27"/>
    <n v="28"/>
    <n v="27"/>
    <n v="28"/>
    <n v="27"/>
    <n v="329"/>
    <x v="1"/>
    <d v="2026-06-23T00:00:00"/>
    <n v="1974"/>
    <n v="4"/>
    <x v="0"/>
  </r>
  <r>
    <n v="118"/>
    <n v="126918"/>
    <s v="CUSTOMER118"/>
    <x v="0"/>
    <x v="12"/>
    <x v="1"/>
    <s v="DainikJagran"/>
    <x v="2"/>
    <n v="28"/>
    <n v="28"/>
    <n v="27"/>
    <n v="28"/>
    <n v="27"/>
    <n v="28"/>
    <n v="28"/>
    <n v="27"/>
    <n v="27"/>
    <n v="27"/>
    <n v="28"/>
    <n v="27"/>
    <n v="330"/>
    <x v="7"/>
    <d v="2026-09-26T00:00:00"/>
    <n v="1980"/>
    <n v="4"/>
    <x v="0"/>
  </r>
  <r>
    <n v="119"/>
    <n v="126919"/>
    <s v="CUSTOMER119"/>
    <x v="0"/>
    <x v="17"/>
    <x v="1"/>
    <s v="TheTimesofIndia"/>
    <x v="0"/>
    <n v="27"/>
    <n v="28"/>
    <n v="27"/>
    <n v="27"/>
    <n v="27"/>
    <n v="28"/>
    <n v="28"/>
    <n v="28"/>
    <n v="28"/>
    <n v="27"/>
    <n v="27"/>
    <n v="28"/>
    <n v="330"/>
    <x v="2"/>
    <d v="2026-07-04T00:00:00"/>
    <n v="1980"/>
    <n v="5"/>
    <x v="1"/>
  </r>
  <r>
    <n v="120"/>
    <n v="126920"/>
    <s v="CUSTOMER120"/>
    <x v="0"/>
    <x v="13"/>
    <x v="1"/>
    <s v="PunjabKesri"/>
    <x v="2"/>
    <n v="27"/>
    <n v="27"/>
    <n v="27"/>
    <n v="27"/>
    <n v="27"/>
    <n v="27"/>
    <n v="28"/>
    <n v="28"/>
    <n v="28"/>
    <n v="28"/>
    <n v="28"/>
    <n v="27"/>
    <n v="329"/>
    <x v="6"/>
    <d v="2026-04-12T00:00:00"/>
    <n v="1974"/>
    <n v="4"/>
    <x v="1"/>
  </r>
  <r>
    <n v="121"/>
    <n v="126921"/>
    <s v="CUSTOMER121"/>
    <x v="0"/>
    <x v="18"/>
    <x v="1"/>
    <s v="TheTimesofIndia"/>
    <x v="0"/>
    <n v="28"/>
    <n v="27"/>
    <n v="27"/>
    <n v="28"/>
    <n v="27"/>
    <n v="27"/>
    <n v="27"/>
    <n v="27"/>
    <n v="28"/>
    <n v="28"/>
    <n v="28"/>
    <n v="28"/>
    <n v="330"/>
    <x v="8"/>
    <d v="2026-08-10T00:00:00"/>
    <n v="1980"/>
    <n v="5"/>
    <x v="0"/>
  </r>
  <r>
    <n v="122"/>
    <n v="126922"/>
    <s v="CUSTOMER122"/>
    <x v="1"/>
    <x v="11"/>
    <x v="2"/>
    <s v="DainikJagran"/>
    <x v="0"/>
    <n v="27"/>
    <n v="27"/>
    <n v="28"/>
    <n v="28"/>
    <n v="27"/>
    <n v="27"/>
    <n v="28"/>
    <n v="28"/>
    <n v="28"/>
    <n v="27"/>
    <n v="27"/>
    <n v="28"/>
    <n v="330"/>
    <x v="8"/>
    <d v="2026-08-17T00:00:00"/>
    <n v="1980"/>
    <n v="3"/>
    <x v="1"/>
  </r>
  <r>
    <n v="123"/>
    <n v="126923"/>
    <s v="CUSTOMER123"/>
    <x v="0"/>
    <x v="11"/>
    <x v="2"/>
    <s v="DainikJagran"/>
    <x v="0"/>
    <n v="27"/>
    <n v="28"/>
    <n v="27"/>
    <n v="28"/>
    <n v="27"/>
    <n v="27"/>
    <n v="27"/>
    <n v="27"/>
    <n v="27"/>
    <n v="27"/>
    <n v="28"/>
    <n v="28"/>
    <n v="328"/>
    <x v="0"/>
    <d v="2026-03-13T00:00:00"/>
    <n v="1968"/>
    <n v="3"/>
    <x v="0"/>
  </r>
  <r>
    <n v="124"/>
    <n v="126924"/>
    <s v="CUSTOMER124"/>
    <x v="0"/>
    <x v="19"/>
    <x v="2"/>
    <s v="DainikJagran"/>
    <x v="1"/>
    <n v="27"/>
    <n v="27"/>
    <n v="27"/>
    <n v="27"/>
    <n v="27"/>
    <n v="27"/>
    <n v="28"/>
    <n v="28"/>
    <n v="28"/>
    <n v="28"/>
    <n v="28"/>
    <n v="28"/>
    <n v="330"/>
    <x v="0"/>
    <d v="2026-03-09T00:00:00"/>
    <n v="1980"/>
    <n v="5"/>
    <x v="1"/>
  </r>
  <r>
    <n v="125"/>
    <n v="126925"/>
    <s v="CUSTOMER125"/>
    <x v="0"/>
    <x v="1"/>
    <x v="0"/>
    <s v="PunjabKesri"/>
    <x v="0"/>
    <n v="27"/>
    <n v="27"/>
    <n v="28"/>
    <n v="27"/>
    <n v="27"/>
    <n v="27"/>
    <n v="28"/>
    <n v="28"/>
    <n v="27"/>
    <n v="27"/>
    <n v="28"/>
    <n v="27"/>
    <n v="328"/>
    <x v="3"/>
    <d v="2026-05-17T00:00:00"/>
    <n v="1968"/>
    <n v="5"/>
    <x v="1"/>
  </r>
  <r>
    <n v="126"/>
    <n v="126926"/>
    <s v="CUSTOMER126"/>
    <x v="1"/>
    <x v="2"/>
    <x v="1"/>
    <s v="PunjabKesri"/>
    <x v="2"/>
    <n v="27"/>
    <n v="28"/>
    <n v="28"/>
    <n v="27"/>
    <n v="27"/>
    <n v="28"/>
    <n v="28"/>
    <n v="27"/>
    <n v="28"/>
    <n v="28"/>
    <n v="28"/>
    <n v="28"/>
    <n v="332"/>
    <x v="2"/>
    <d v="2026-07-15T00:00:00"/>
    <n v="1992"/>
    <n v="4"/>
    <x v="1"/>
  </r>
  <r>
    <n v="127"/>
    <n v="126927"/>
    <s v="CUSTOMER127"/>
    <x v="0"/>
    <x v="8"/>
    <x v="0"/>
    <s v="DainikJagran"/>
    <x v="2"/>
    <n v="27"/>
    <n v="28"/>
    <n v="27"/>
    <n v="27"/>
    <n v="28"/>
    <n v="28"/>
    <n v="28"/>
    <n v="28"/>
    <n v="28"/>
    <n v="27"/>
    <n v="27"/>
    <n v="28"/>
    <n v="331"/>
    <x v="5"/>
    <d v="2026-02-08T00:00:00"/>
    <n v="1986"/>
    <n v="4"/>
    <x v="0"/>
  </r>
  <r>
    <n v="128"/>
    <n v="126928"/>
    <s v="CUSTOMER128"/>
    <x v="1"/>
    <x v="7"/>
    <x v="1"/>
    <s v="TheTimesofIndia"/>
    <x v="0"/>
    <n v="28"/>
    <n v="28"/>
    <n v="27"/>
    <n v="28"/>
    <n v="27"/>
    <n v="27"/>
    <n v="28"/>
    <n v="28"/>
    <n v="28"/>
    <n v="27"/>
    <n v="27"/>
    <n v="28"/>
    <n v="331"/>
    <x v="1"/>
    <d v="2026-06-01T00:00:00"/>
    <n v="1986"/>
    <n v="5"/>
    <x v="0"/>
  </r>
  <r>
    <n v="129"/>
    <n v="126929"/>
    <s v="CUSTOMER129"/>
    <x v="1"/>
    <x v="20"/>
    <x v="3"/>
    <s v="TheTimesofIndia"/>
    <x v="0"/>
    <n v="27"/>
    <n v="27"/>
    <n v="27"/>
    <n v="27"/>
    <n v="27"/>
    <n v="27"/>
    <n v="27"/>
    <n v="27"/>
    <n v="27"/>
    <n v="27"/>
    <n v="28"/>
    <n v="28"/>
    <n v="326"/>
    <x v="7"/>
    <d v="2026-09-30T00:00:00"/>
    <n v="1956"/>
    <n v="5"/>
    <x v="0"/>
  </r>
  <r>
    <n v="130"/>
    <n v="126930"/>
    <s v="CUSTOMER130"/>
    <x v="0"/>
    <x v="21"/>
    <x v="3"/>
    <s v="PunjabKesri"/>
    <x v="2"/>
    <n v="28"/>
    <n v="27"/>
    <n v="28"/>
    <n v="27"/>
    <n v="28"/>
    <n v="28"/>
    <n v="27"/>
    <n v="28"/>
    <n v="27"/>
    <n v="27"/>
    <n v="27"/>
    <n v="28"/>
    <n v="330"/>
    <x v="1"/>
    <d v="2026-06-27T00:00:00"/>
    <n v="1980"/>
    <n v="4"/>
    <x v="0"/>
  </r>
  <r>
    <n v="131"/>
    <n v="126931"/>
    <s v="CUSTOMER131"/>
    <x v="0"/>
    <x v="22"/>
    <x v="1"/>
    <s v="PunjabKesri"/>
    <x v="0"/>
    <n v="27"/>
    <n v="28"/>
    <n v="28"/>
    <n v="27"/>
    <n v="28"/>
    <n v="27"/>
    <n v="28"/>
    <n v="28"/>
    <n v="27"/>
    <n v="27"/>
    <n v="27"/>
    <n v="28"/>
    <n v="330"/>
    <x v="2"/>
    <d v="2026-07-11T00:00:00"/>
    <n v="1980"/>
    <n v="3"/>
    <x v="0"/>
  </r>
  <r>
    <n v="132"/>
    <n v="126932"/>
    <s v="CUSTOMER132"/>
    <x v="0"/>
    <x v="6"/>
    <x v="0"/>
    <s v="TheTimesofIndia"/>
    <x v="1"/>
    <n v="28"/>
    <n v="27"/>
    <n v="28"/>
    <n v="27"/>
    <n v="27"/>
    <n v="28"/>
    <n v="28"/>
    <n v="28"/>
    <n v="28"/>
    <n v="28"/>
    <n v="27"/>
    <n v="28"/>
    <n v="332"/>
    <x v="0"/>
    <d v="2026-03-18T00:00:00"/>
    <n v="1992"/>
    <n v="4"/>
    <x v="1"/>
  </r>
  <r>
    <n v="133"/>
    <n v="126933"/>
    <s v="CUSTOMER133"/>
    <x v="0"/>
    <x v="19"/>
    <x v="2"/>
    <s v="TheTimesofIndia"/>
    <x v="0"/>
    <n v="27"/>
    <n v="28"/>
    <n v="27"/>
    <n v="28"/>
    <n v="27"/>
    <n v="28"/>
    <n v="27"/>
    <n v="28"/>
    <n v="27"/>
    <n v="28"/>
    <n v="27"/>
    <n v="28"/>
    <n v="330"/>
    <x v="1"/>
    <d v="2026-06-23T00:00:00"/>
    <n v="1980"/>
    <n v="3"/>
    <x v="1"/>
  </r>
  <r>
    <n v="134"/>
    <n v="126934"/>
    <s v="CUSTOMER134"/>
    <x v="0"/>
    <x v="23"/>
    <x v="2"/>
    <s v="Rajasthanpatrika"/>
    <x v="2"/>
    <n v="27"/>
    <n v="27"/>
    <n v="27"/>
    <n v="27"/>
    <n v="27"/>
    <n v="27"/>
    <n v="27"/>
    <n v="27"/>
    <n v="28"/>
    <n v="28"/>
    <n v="28"/>
    <n v="27"/>
    <n v="327"/>
    <x v="4"/>
    <d v="2026-01-06T00:00:00"/>
    <n v="1962"/>
    <n v="5"/>
    <x v="0"/>
  </r>
  <r>
    <n v="135"/>
    <n v="126935"/>
    <s v="CUSTOMER135"/>
    <x v="0"/>
    <x v="5"/>
    <x v="0"/>
    <s v="DainikJagran"/>
    <x v="2"/>
    <n v="27"/>
    <n v="27"/>
    <n v="28"/>
    <n v="28"/>
    <n v="28"/>
    <n v="27"/>
    <n v="27"/>
    <n v="28"/>
    <n v="28"/>
    <n v="27"/>
    <n v="28"/>
    <n v="28"/>
    <n v="331"/>
    <x v="2"/>
    <d v="2026-07-20T00:00:00"/>
    <n v="1986"/>
    <n v="5"/>
    <x v="0"/>
  </r>
  <r>
    <n v="136"/>
    <n v="126936"/>
    <s v="CUSTOMER136"/>
    <x v="0"/>
    <x v="14"/>
    <x v="2"/>
    <s v="DainikBhaskar"/>
    <x v="0"/>
    <n v="27"/>
    <n v="27"/>
    <n v="27"/>
    <n v="27"/>
    <n v="28"/>
    <n v="27"/>
    <n v="28"/>
    <n v="27"/>
    <n v="28"/>
    <n v="27"/>
    <n v="27"/>
    <n v="28"/>
    <n v="328"/>
    <x v="3"/>
    <d v="2026-05-13T00:00:00"/>
    <n v="1968"/>
    <n v="5"/>
    <x v="0"/>
  </r>
  <r>
    <n v="137"/>
    <n v="126937"/>
    <s v="CUSTOMER137"/>
    <x v="1"/>
    <x v="12"/>
    <x v="1"/>
    <s v="DainikBhaskar"/>
    <x v="0"/>
    <n v="27"/>
    <n v="28"/>
    <n v="28"/>
    <n v="27"/>
    <n v="28"/>
    <n v="28"/>
    <n v="28"/>
    <n v="28"/>
    <n v="27"/>
    <n v="28"/>
    <n v="28"/>
    <n v="28"/>
    <n v="333"/>
    <x v="4"/>
    <d v="2026-01-26T00:00:00"/>
    <n v="1998"/>
    <n v="4"/>
    <x v="1"/>
  </r>
  <r>
    <n v="138"/>
    <n v="126938"/>
    <s v="CUSTOMER138"/>
    <x v="1"/>
    <x v="4"/>
    <x v="0"/>
    <s v="DainikBhaskar"/>
    <x v="0"/>
    <n v="28"/>
    <n v="27"/>
    <n v="27"/>
    <n v="28"/>
    <n v="28"/>
    <n v="27"/>
    <n v="28"/>
    <n v="27"/>
    <n v="28"/>
    <n v="27"/>
    <n v="28"/>
    <n v="28"/>
    <n v="331"/>
    <x v="8"/>
    <d v="2026-08-01T00:00:00"/>
    <n v="1986"/>
    <n v="3"/>
    <x v="1"/>
  </r>
  <r>
    <n v="139"/>
    <n v="126939"/>
    <s v="CUSTOMER139"/>
    <x v="0"/>
    <x v="15"/>
    <x v="1"/>
    <s v="Rajasthanpatrika"/>
    <x v="1"/>
    <n v="27"/>
    <n v="28"/>
    <n v="28"/>
    <n v="28"/>
    <n v="27"/>
    <n v="27"/>
    <n v="28"/>
    <n v="27"/>
    <n v="27"/>
    <n v="28"/>
    <n v="28"/>
    <n v="28"/>
    <n v="331"/>
    <x v="3"/>
    <d v="2026-05-29T00:00:00"/>
    <n v="1986"/>
    <n v="4"/>
    <x v="0"/>
  </r>
  <r>
    <n v="140"/>
    <n v="126940"/>
    <s v="CUSTOMER140"/>
    <x v="0"/>
    <x v="19"/>
    <x v="2"/>
    <s v="DainikBhaskar"/>
    <x v="2"/>
    <n v="27"/>
    <n v="27"/>
    <n v="28"/>
    <n v="27"/>
    <n v="28"/>
    <n v="28"/>
    <n v="28"/>
    <n v="27"/>
    <n v="28"/>
    <n v="28"/>
    <n v="28"/>
    <n v="27"/>
    <n v="331"/>
    <x v="0"/>
    <d v="2026-03-17T00:00:00"/>
    <n v="1986"/>
    <n v="4"/>
    <x v="0"/>
  </r>
  <r>
    <n v="141"/>
    <n v="126941"/>
    <s v="CUSTOMER141"/>
    <x v="0"/>
    <x v="24"/>
    <x v="2"/>
    <s v="DainikBhaskar"/>
    <x v="1"/>
    <n v="27"/>
    <n v="27"/>
    <n v="27"/>
    <n v="27"/>
    <n v="27"/>
    <n v="27"/>
    <n v="27"/>
    <n v="28"/>
    <n v="27"/>
    <n v="27"/>
    <n v="28"/>
    <n v="27"/>
    <n v="326"/>
    <x v="5"/>
    <d v="2026-02-01T00:00:00"/>
    <n v="1956"/>
    <n v="3"/>
    <x v="0"/>
  </r>
  <r>
    <n v="142"/>
    <n v="126942"/>
    <s v="CUSTOMER142"/>
    <x v="0"/>
    <x v="25"/>
    <x v="3"/>
    <s v="PunjabKesri"/>
    <x v="2"/>
    <n v="28"/>
    <n v="27"/>
    <n v="28"/>
    <n v="27"/>
    <n v="27"/>
    <n v="28"/>
    <n v="27"/>
    <n v="28"/>
    <n v="27"/>
    <n v="27"/>
    <n v="27"/>
    <n v="28"/>
    <n v="329"/>
    <x v="8"/>
    <d v="2026-08-02T00:00:00"/>
    <n v="1974"/>
    <n v="3"/>
    <x v="1"/>
  </r>
  <r>
    <n v="143"/>
    <n v="126943"/>
    <s v="CUSTOMER143"/>
    <x v="0"/>
    <x v="13"/>
    <x v="1"/>
    <s v="DainikJagran"/>
    <x v="1"/>
    <n v="28"/>
    <n v="28"/>
    <n v="28"/>
    <n v="28"/>
    <n v="28"/>
    <n v="27"/>
    <n v="27"/>
    <n v="28"/>
    <n v="27"/>
    <n v="28"/>
    <n v="27"/>
    <n v="28"/>
    <n v="332"/>
    <x v="7"/>
    <d v="2026-09-13T00:00:00"/>
    <n v="1992"/>
    <n v="5"/>
    <x v="0"/>
  </r>
  <r>
    <n v="144"/>
    <n v="126944"/>
    <s v="CUSTOMER144"/>
    <x v="1"/>
    <x v="16"/>
    <x v="1"/>
    <s v="DainikJagran"/>
    <x v="1"/>
    <n v="28"/>
    <n v="27"/>
    <n v="28"/>
    <n v="27"/>
    <n v="28"/>
    <n v="28"/>
    <n v="27"/>
    <n v="28"/>
    <n v="27"/>
    <n v="28"/>
    <n v="27"/>
    <n v="27"/>
    <n v="330"/>
    <x v="3"/>
    <d v="2026-05-06T00:00:00"/>
    <n v="1980"/>
    <n v="5"/>
    <x v="1"/>
  </r>
  <r>
    <n v="145"/>
    <n v="126945"/>
    <s v="CUSTOMER145"/>
    <x v="0"/>
    <x v="14"/>
    <x v="2"/>
    <s v="Rajasthanpatrika"/>
    <x v="2"/>
    <n v="27"/>
    <n v="27"/>
    <n v="28"/>
    <n v="28"/>
    <n v="27"/>
    <n v="28"/>
    <n v="28"/>
    <n v="28"/>
    <n v="27"/>
    <n v="27"/>
    <n v="27"/>
    <n v="27"/>
    <n v="329"/>
    <x v="4"/>
    <d v="2026-01-21T00:00:00"/>
    <n v="1974"/>
    <n v="5"/>
    <x v="1"/>
  </r>
  <r>
    <n v="146"/>
    <n v="126946"/>
    <s v="CUSTOMER146"/>
    <x v="0"/>
    <x v="21"/>
    <x v="3"/>
    <s v="DainikBhaskar"/>
    <x v="2"/>
    <n v="27"/>
    <n v="28"/>
    <n v="28"/>
    <n v="28"/>
    <n v="28"/>
    <n v="28"/>
    <n v="27"/>
    <n v="28"/>
    <n v="28"/>
    <n v="28"/>
    <n v="27"/>
    <n v="27"/>
    <n v="332"/>
    <x v="5"/>
    <d v="2026-02-06T00:00:00"/>
    <n v="1992"/>
    <n v="5"/>
    <x v="0"/>
  </r>
  <r>
    <n v="147"/>
    <n v="126947"/>
    <s v="CUSTOMER147"/>
    <x v="0"/>
    <x v="16"/>
    <x v="1"/>
    <s v="PunjabKesri"/>
    <x v="2"/>
    <n v="28"/>
    <n v="28"/>
    <n v="27"/>
    <n v="28"/>
    <n v="28"/>
    <n v="28"/>
    <n v="27"/>
    <n v="28"/>
    <n v="28"/>
    <n v="27"/>
    <n v="28"/>
    <n v="27"/>
    <n v="332"/>
    <x v="8"/>
    <d v="2026-08-25T00:00:00"/>
    <n v="1992"/>
    <n v="3"/>
    <x v="0"/>
  </r>
  <r>
    <n v="148"/>
    <n v="126948"/>
    <s v="CUSTOMER148"/>
    <x v="1"/>
    <x v="23"/>
    <x v="2"/>
    <s v="DainikBhaskar"/>
    <x v="0"/>
    <n v="28"/>
    <n v="27"/>
    <n v="28"/>
    <n v="27"/>
    <n v="27"/>
    <n v="28"/>
    <n v="28"/>
    <n v="28"/>
    <n v="28"/>
    <n v="28"/>
    <n v="28"/>
    <n v="27"/>
    <n v="332"/>
    <x v="3"/>
    <d v="2026-05-22T00:00:00"/>
    <n v="1992"/>
    <n v="4"/>
    <x v="0"/>
  </r>
  <r>
    <n v="149"/>
    <n v="126949"/>
    <s v="CUSTOMER149"/>
    <x v="0"/>
    <x v="7"/>
    <x v="1"/>
    <s v="DainikBhaskar"/>
    <x v="1"/>
    <n v="27"/>
    <n v="27"/>
    <n v="28"/>
    <n v="28"/>
    <n v="27"/>
    <n v="27"/>
    <n v="28"/>
    <n v="27"/>
    <n v="27"/>
    <n v="27"/>
    <n v="27"/>
    <n v="28"/>
    <n v="328"/>
    <x v="4"/>
    <d v="2026-01-29T00:00:00"/>
    <n v="1968"/>
    <n v="4"/>
    <x v="0"/>
  </r>
  <r>
    <n v="150"/>
    <n v="126950"/>
    <s v="CUSTOMER150"/>
    <x v="1"/>
    <x v="0"/>
    <x v="0"/>
    <s v="DainikBhaskar"/>
    <x v="0"/>
    <n v="28"/>
    <n v="27"/>
    <n v="28"/>
    <n v="28"/>
    <n v="28"/>
    <n v="27"/>
    <n v="28"/>
    <n v="28"/>
    <n v="28"/>
    <n v="27"/>
    <n v="27"/>
    <n v="27"/>
    <n v="331"/>
    <x v="0"/>
    <d v="2026-03-27T00:00:00"/>
    <n v="1986"/>
    <n v="4"/>
    <x v="1"/>
  </r>
  <r>
    <n v="151"/>
    <n v="126951"/>
    <s v="CUSTOMER151"/>
    <x v="1"/>
    <x v="20"/>
    <x v="3"/>
    <s v="DainikJagran"/>
    <x v="2"/>
    <n v="27"/>
    <n v="28"/>
    <n v="28"/>
    <n v="28"/>
    <n v="27"/>
    <n v="28"/>
    <n v="28"/>
    <n v="28"/>
    <n v="27"/>
    <n v="28"/>
    <n v="27"/>
    <n v="28"/>
    <n v="332"/>
    <x v="2"/>
    <d v="2026-07-23T00:00:00"/>
    <n v="1992"/>
    <n v="4"/>
    <x v="1"/>
  </r>
  <r>
    <n v="152"/>
    <n v="126952"/>
    <s v="CUSTOMER152"/>
    <x v="0"/>
    <x v="8"/>
    <x v="0"/>
    <s v="Rajasthanpatrika"/>
    <x v="1"/>
    <n v="28"/>
    <n v="27"/>
    <n v="27"/>
    <n v="27"/>
    <n v="28"/>
    <n v="27"/>
    <n v="28"/>
    <n v="27"/>
    <n v="28"/>
    <n v="28"/>
    <n v="27"/>
    <n v="28"/>
    <n v="330"/>
    <x v="0"/>
    <d v="2026-03-14T00:00:00"/>
    <n v="1980"/>
    <n v="3"/>
    <x v="0"/>
  </r>
  <r>
    <n v="153"/>
    <n v="126953"/>
    <s v="CUSTOMER153"/>
    <x v="0"/>
    <x v="9"/>
    <x v="0"/>
    <s v="TheTimesofIndia"/>
    <x v="0"/>
    <n v="28"/>
    <n v="27"/>
    <n v="27"/>
    <n v="28"/>
    <n v="27"/>
    <n v="27"/>
    <n v="27"/>
    <n v="28"/>
    <n v="28"/>
    <n v="27"/>
    <n v="28"/>
    <n v="27"/>
    <n v="329"/>
    <x v="6"/>
    <d v="2026-04-15T00:00:00"/>
    <n v="1974"/>
    <n v="4"/>
    <x v="1"/>
  </r>
  <r>
    <n v="154"/>
    <n v="126954"/>
    <s v="CUSTOMER154"/>
    <x v="0"/>
    <x v="20"/>
    <x v="3"/>
    <s v="Rajasthanpatrika"/>
    <x v="0"/>
    <n v="28"/>
    <n v="27"/>
    <n v="28"/>
    <n v="27"/>
    <n v="28"/>
    <n v="27"/>
    <n v="27"/>
    <n v="28"/>
    <n v="28"/>
    <n v="28"/>
    <n v="28"/>
    <n v="27"/>
    <n v="331"/>
    <x v="2"/>
    <d v="2026-07-26T00:00:00"/>
    <n v="1986"/>
    <n v="5"/>
    <x v="1"/>
  </r>
  <r>
    <n v="155"/>
    <n v="126955"/>
    <s v="CUSTOMER155"/>
    <x v="0"/>
    <x v="26"/>
    <x v="2"/>
    <s v="DainikJagran"/>
    <x v="2"/>
    <n v="28"/>
    <n v="27"/>
    <n v="28"/>
    <n v="27"/>
    <n v="27"/>
    <n v="27"/>
    <n v="28"/>
    <n v="28"/>
    <n v="28"/>
    <n v="28"/>
    <n v="27"/>
    <n v="28"/>
    <n v="331"/>
    <x v="5"/>
    <d v="2026-02-11T00:00:00"/>
    <n v="1986"/>
    <n v="5"/>
    <x v="0"/>
  </r>
  <r>
    <n v="156"/>
    <n v="126956"/>
    <s v="CUSTOMER156"/>
    <x v="0"/>
    <x v="27"/>
    <x v="2"/>
    <s v="DainikBhaskar"/>
    <x v="0"/>
    <n v="27"/>
    <n v="28"/>
    <n v="27"/>
    <n v="28"/>
    <n v="28"/>
    <n v="28"/>
    <n v="27"/>
    <n v="27"/>
    <n v="28"/>
    <n v="27"/>
    <n v="27"/>
    <n v="28"/>
    <n v="330"/>
    <x v="3"/>
    <d v="2026-05-21T00:00:00"/>
    <n v="1980"/>
    <n v="3"/>
    <x v="1"/>
  </r>
  <r>
    <n v="157"/>
    <n v="126957"/>
    <s v="CUSTOMER157"/>
    <x v="0"/>
    <x v="19"/>
    <x v="2"/>
    <s v="DainikBhaskar"/>
    <x v="0"/>
    <n v="28"/>
    <n v="27"/>
    <n v="27"/>
    <n v="27"/>
    <n v="28"/>
    <n v="27"/>
    <n v="28"/>
    <n v="27"/>
    <n v="28"/>
    <n v="27"/>
    <n v="28"/>
    <n v="28"/>
    <n v="330"/>
    <x v="2"/>
    <d v="2026-07-03T00:00:00"/>
    <n v="1980"/>
    <n v="5"/>
    <x v="0"/>
  </r>
  <r>
    <n v="158"/>
    <n v="126958"/>
    <s v="CUSTOMER158"/>
    <x v="0"/>
    <x v="26"/>
    <x v="2"/>
    <s v="TheTimesofIndia"/>
    <x v="1"/>
    <n v="28"/>
    <n v="28"/>
    <n v="27"/>
    <n v="28"/>
    <n v="28"/>
    <n v="28"/>
    <n v="27"/>
    <n v="28"/>
    <n v="27"/>
    <n v="27"/>
    <n v="28"/>
    <n v="27"/>
    <n v="331"/>
    <x v="7"/>
    <d v="2026-09-05T00:00:00"/>
    <n v="1986"/>
    <n v="3"/>
    <x v="0"/>
  </r>
  <r>
    <n v="159"/>
    <n v="126959"/>
    <s v="CUSTOMER159"/>
    <x v="1"/>
    <x v="23"/>
    <x v="2"/>
    <s v="Rajasthanpatrika"/>
    <x v="0"/>
    <n v="28"/>
    <n v="28"/>
    <n v="27"/>
    <n v="28"/>
    <n v="28"/>
    <n v="28"/>
    <n v="27"/>
    <n v="27"/>
    <n v="27"/>
    <n v="27"/>
    <n v="27"/>
    <n v="28"/>
    <n v="330"/>
    <x v="7"/>
    <d v="2026-09-11T00:00:00"/>
    <n v="1980"/>
    <n v="3"/>
    <x v="0"/>
  </r>
  <r>
    <n v="160"/>
    <n v="126960"/>
    <s v="CUSTOMER160"/>
    <x v="1"/>
    <x v="28"/>
    <x v="3"/>
    <s v="TheTimesofIndia"/>
    <x v="0"/>
    <n v="27"/>
    <n v="28"/>
    <n v="28"/>
    <n v="28"/>
    <n v="27"/>
    <n v="27"/>
    <n v="28"/>
    <n v="27"/>
    <n v="28"/>
    <n v="27"/>
    <n v="28"/>
    <n v="27"/>
    <n v="330"/>
    <x v="0"/>
    <d v="2026-03-26T00:00:00"/>
    <n v="1980"/>
    <n v="3"/>
    <x v="0"/>
  </r>
  <r>
    <n v="161"/>
    <n v="126961"/>
    <s v="CUSTOMER161"/>
    <x v="0"/>
    <x v="26"/>
    <x v="2"/>
    <s v="DainikBhaskar"/>
    <x v="1"/>
    <n v="28"/>
    <n v="27"/>
    <n v="27"/>
    <n v="28"/>
    <n v="28"/>
    <n v="27"/>
    <n v="27"/>
    <n v="28"/>
    <n v="28"/>
    <n v="28"/>
    <n v="27"/>
    <n v="28"/>
    <n v="331"/>
    <x v="8"/>
    <d v="2026-08-24T00:00:00"/>
    <n v="1986"/>
    <n v="5"/>
    <x v="0"/>
  </r>
  <r>
    <n v="162"/>
    <n v="126962"/>
    <s v="CUSTOMER162"/>
    <x v="0"/>
    <x v="23"/>
    <x v="2"/>
    <s v="TheTimesofIndia"/>
    <x v="1"/>
    <n v="28"/>
    <n v="27"/>
    <n v="27"/>
    <n v="27"/>
    <n v="28"/>
    <n v="28"/>
    <n v="28"/>
    <n v="28"/>
    <n v="28"/>
    <n v="27"/>
    <n v="27"/>
    <n v="27"/>
    <n v="330"/>
    <x v="1"/>
    <d v="2026-06-10T00:00:00"/>
    <n v="1980"/>
    <n v="3"/>
    <x v="1"/>
  </r>
  <r>
    <n v="163"/>
    <n v="126963"/>
    <s v="CUSTOMER163"/>
    <x v="0"/>
    <x v="15"/>
    <x v="1"/>
    <s v="TheTimesofIndia"/>
    <x v="2"/>
    <n v="27"/>
    <n v="27"/>
    <n v="27"/>
    <n v="28"/>
    <n v="28"/>
    <n v="28"/>
    <n v="27"/>
    <n v="28"/>
    <n v="28"/>
    <n v="28"/>
    <n v="28"/>
    <n v="28"/>
    <n v="332"/>
    <x v="8"/>
    <d v="2026-08-20T00:00:00"/>
    <n v="1992"/>
    <n v="3"/>
    <x v="1"/>
  </r>
  <r>
    <n v="164"/>
    <n v="126964"/>
    <s v="CUSTOMER164"/>
    <x v="0"/>
    <x v="12"/>
    <x v="1"/>
    <s v="PunjabKesri"/>
    <x v="1"/>
    <n v="28"/>
    <n v="27"/>
    <n v="28"/>
    <n v="27"/>
    <n v="27"/>
    <n v="27"/>
    <n v="27"/>
    <n v="27"/>
    <n v="27"/>
    <n v="28"/>
    <n v="28"/>
    <n v="28"/>
    <n v="329"/>
    <x v="2"/>
    <d v="2026-07-21T00:00:00"/>
    <n v="1974"/>
    <n v="4"/>
    <x v="0"/>
  </r>
  <r>
    <n v="165"/>
    <n v="126965"/>
    <s v="CUSTOMER165"/>
    <x v="0"/>
    <x v="19"/>
    <x v="2"/>
    <s v="DainikJagran"/>
    <x v="0"/>
    <n v="28"/>
    <n v="28"/>
    <n v="28"/>
    <n v="27"/>
    <n v="28"/>
    <n v="27"/>
    <n v="27"/>
    <n v="27"/>
    <n v="27"/>
    <n v="28"/>
    <n v="28"/>
    <n v="27"/>
    <n v="330"/>
    <x v="0"/>
    <d v="2026-03-30T00:00:00"/>
    <n v="1980"/>
    <n v="4"/>
    <x v="1"/>
  </r>
  <r>
    <n v="166"/>
    <n v="126966"/>
    <s v="CUSTOMER166"/>
    <x v="1"/>
    <x v="13"/>
    <x v="1"/>
    <s v="Rajasthanpatrika"/>
    <x v="1"/>
    <n v="27"/>
    <n v="28"/>
    <n v="27"/>
    <n v="28"/>
    <n v="27"/>
    <n v="28"/>
    <n v="27"/>
    <n v="27"/>
    <n v="27"/>
    <n v="27"/>
    <n v="27"/>
    <n v="28"/>
    <n v="328"/>
    <x v="2"/>
    <d v="2026-07-13T00:00:00"/>
    <n v="1968"/>
    <n v="4"/>
    <x v="1"/>
  </r>
  <r>
    <n v="167"/>
    <n v="126967"/>
    <s v="CUSTOMER167"/>
    <x v="0"/>
    <x v="22"/>
    <x v="1"/>
    <s v="Rajasthanpatrika"/>
    <x v="0"/>
    <n v="28"/>
    <n v="28"/>
    <n v="28"/>
    <n v="27"/>
    <n v="27"/>
    <n v="27"/>
    <n v="27"/>
    <n v="27"/>
    <n v="28"/>
    <n v="28"/>
    <n v="28"/>
    <n v="27"/>
    <n v="330"/>
    <x v="1"/>
    <d v="2026-06-04T00:00:00"/>
    <n v="1980"/>
    <n v="4"/>
    <x v="0"/>
  </r>
  <r>
    <n v="168"/>
    <n v="126968"/>
    <s v="CUSTOMER168"/>
    <x v="0"/>
    <x v="13"/>
    <x v="1"/>
    <s v="Rajasthanpatrika"/>
    <x v="1"/>
    <n v="28"/>
    <n v="27"/>
    <n v="28"/>
    <n v="27"/>
    <n v="27"/>
    <n v="27"/>
    <n v="28"/>
    <n v="27"/>
    <n v="27"/>
    <n v="27"/>
    <n v="28"/>
    <n v="27"/>
    <n v="328"/>
    <x v="7"/>
    <d v="2026-09-09T00:00:00"/>
    <n v="1968"/>
    <n v="4"/>
    <x v="0"/>
  </r>
  <r>
    <n v="169"/>
    <n v="126969"/>
    <s v="CUSTOMER169"/>
    <x v="0"/>
    <x v="21"/>
    <x v="3"/>
    <s v="TheTimesofIndia"/>
    <x v="2"/>
    <n v="27"/>
    <n v="27"/>
    <n v="28"/>
    <n v="27"/>
    <n v="28"/>
    <n v="27"/>
    <n v="28"/>
    <n v="28"/>
    <n v="28"/>
    <n v="27"/>
    <n v="28"/>
    <n v="27"/>
    <n v="330"/>
    <x v="7"/>
    <d v="2026-09-06T00:00:00"/>
    <n v="1980"/>
    <n v="3"/>
    <x v="0"/>
  </r>
  <r>
    <n v="170"/>
    <n v="126970"/>
    <s v="CUSTOMER170"/>
    <x v="1"/>
    <x v="28"/>
    <x v="3"/>
    <s v="TheTimesofIndia"/>
    <x v="0"/>
    <n v="28"/>
    <n v="27"/>
    <n v="28"/>
    <n v="28"/>
    <n v="28"/>
    <n v="28"/>
    <n v="27"/>
    <n v="27"/>
    <n v="27"/>
    <n v="28"/>
    <n v="27"/>
    <n v="28"/>
    <n v="331"/>
    <x v="2"/>
    <d v="2026-07-15T00:00:00"/>
    <n v="1986"/>
    <n v="5"/>
    <x v="0"/>
  </r>
  <r>
    <n v="171"/>
    <n v="126971"/>
    <s v="CUSTOMER171"/>
    <x v="0"/>
    <x v="9"/>
    <x v="0"/>
    <s v="DainikJagran"/>
    <x v="0"/>
    <n v="28"/>
    <n v="28"/>
    <n v="27"/>
    <n v="28"/>
    <n v="28"/>
    <n v="27"/>
    <n v="27"/>
    <n v="28"/>
    <n v="27"/>
    <n v="27"/>
    <n v="27"/>
    <n v="27"/>
    <n v="329"/>
    <x v="6"/>
    <d v="2026-04-08T00:00:00"/>
    <n v="1974"/>
    <n v="5"/>
    <x v="0"/>
  </r>
  <r>
    <n v="172"/>
    <n v="126972"/>
    <s v="CUSTOMER172"/>
    <x v="1"/>
    <x v="11"/>
    <x v="2"/>
    <s v="DainikBhaskar"/>
    <x v="2"/>
    <n v="27"/>
    <n v="28"/>
    <n v="28"/>
    <n v="28"/>
    <n v="28"/>
    <n v="28"/>
    <n v="28"/>
    <n v="27"/>
    <n v="27"/>
    <n v="28"/>
    <n v="28"/>
    <n v="27"/>
    <n v="332"/>
    <x v="0"/>
    <d v="2026-03-22T00:00:00"/>
    <n v="1992"/>
    <n v="3"/>
    <x v="0"/>
  </r>
  <r>
    <n v="173"/>
    <n v="126973"/>
    <s v="CUSTOMER173"/>
    <x v="1"/>
    <x v="2"/>
    <x v="1"/>
    <s v="DainikJagran"/>
    <x v="2"/>
    <n v="28"/>
    <n v="27"/>
    <n v="27"/>
    <n v="27"/>
    <n v="28"/>
    <n v="27"/>
    <n v="28"/>
    <n v="28"/>
    <n v="27"/>
    <n v="27"/>
    <n v="28"/>
    <n v="28"/>
    <n v="330"/>
    <x v="8"/>
    <d v="2026-08-23T00:00:00"/>
    <n v="1980"/>
    <n v="3"/>
    <x v="1"/>
  </r>
  <r>
    <n v="174"/>
    <n v="126974"/>
    <s v="CUSTOMER174"/>
    <x v="0"/>
    <x v="17"/>
    <x v="1"/>
    <s v="Rajasthanpatrika"/>
    <x v="1"/>
    <n v="28"/>
    <n v="27"/>
    <n v="28"/>
    <n v="27"/>
    <n v="27"/>
    <n v="28"/>
    <n v="27"/>
    <n v="28"/>
    <n v="27"/>
    <n v="27"/>
    <n v="28"/>
    <n v="27"/>
    <n v="329"/>
    <x v="3"/>
    <d v="2026-05-04T00:00:00"/>
    <n v="1974"/>
    <n v="3"/>
    <x v="0"/>
  </r>
  <r>
    <n v="175"/>
    <n v="126975"/>
    <s v="CUSTOMER175"/>
    <x v="0"/>
    <x v="14"/>
    <x v="2"/>
    <s v="DainikBhaskar"/>
    <x v="2"/>
    <n v="27"/>
    <n v="27"/>
    <n v="27"/>
    <n v="27"/>
    <n v="28"/>
    <n v="27"/>
    <n v="27"/>
    <n v="28"/>
    <n v="27"/>
    <n v="28"/>
    <n v="27"/>
    <n v="27"/>
    <n v="327"/>
    <x v="3"/>
    <d v="2026-05-14T00:00:00"/>
    <n v="1962"/>
    <n v="3"/>
    <x v="1"/>
  </r>
  <r>
    <n v="176"/>
    <n v="126976"/>
    <s v="CUSTOMER176"/>
    <x v="0"/>
    <x v="15"/>
    <x v="1"/>
    <s v="DainikJagran"/>
    <x v="0"/>
    <n v="27"/>
    <n v="28"/>
    <n v="27"/>
    <n v="28"/>
    <n v="28"/>
    <n v="27"/>
    <n v="27"/>
    <n v="27"/>
    <n v="28"/>
    <n v="28"/>
    <n v="27"/>
    <n v="28"/>
    <n v="330"/>
    <x v="5"/>
    <d v="2026-02-25T00:00:00"/>
    <n v="1980"/>
    <n v="4"/>
    <x v="1"/>
  </r>
  <r>
    <n v="177"/>
    <n v="126977"/>
    <s v="CUSTOMER177"/>
    <x v="0"/>
    <x v="9"/>
    <x v="0"/>
    <s v="Rajasthanpatrika"/>
    <x v="2"/>
    <n v="28"/>
    <n v="27"/>
    <n v="28"/>
    <n v="28"/>
    <n v="27"/>
    <n v="28"/>
    <n v="27"/>
    <n v="28"/>
    <n v="28"/>
    <n v="27"/>
    <n v="27"/>
    <n v="28"/>
    <n v="331"/>
    <x v="2"/>
    <d v="2026-07-03T00:00:00"/>
    <n v="1986"/>
    <n v="3"/>
    <x v="0"/>
  </r>
  <r>
    <n v="178"/>
    <n v="126978"/>
    <s v="CUSTOMER178"/>
    <x v="0"/>
    <x v="29"/>
    <x v="3"/>
    <s v="Rajasthanpatrika"/>
    <x v="2"/>
    <n v="28"/>
    <n v="27"/>
    <n v="28"/>
    <n v="28"/>
    <n v="27"/>
    <n v="28"/>
    <n v="27"/>
    <n v="28"/>
    <n v="27"/>
    <n v="27"/>
    <n v="27"/>
    <n v="27"/>
    <n v="329"/>
    <x v="7"/>
    <d v="2026-09-08T00:00:00"/>
    <n v="1974"/>
    <n v="3"/>
    <x v="1"/>
  </r>
  <r>
    <n v="179"/>
    <n v="126979"/>
    <s v="CUSTOMER179"/>
    <x v="0"/>
    <x v="30"/>
    <x v="2"/>
    <s v="DainikBhaskar"/>
    <x v="2"/>
    <n v="28"/>
    <n v="27"/>
    <n v="27"/>
    <n v="28"/>
    <n v="27"/>
    <n v="28"/>
    <n v="27"/>
    <n v="28"/>
    <n v="28"/>
    <n v="27"/>
    <n v="27"/>
    <n v="27"/>
    <n v="329"/>
    <x v="6"/>
    <d v="2026-04-06T00:00:00"/>
    <n v="1974"/>
    <n v="4"/>
    <x v="0"/>
  </r>
  <r>
    <n v="180"/>
    <n v="126980"/>
    <s v="CUSTOMER180"/>
    <x v="0"/>
    <x v="0"/>
    <x v="0"/>
    <s v="TheTimesofIndia"/>
    <x v="0"/>
    <n v="28"/>
    <n v="28"/>
    <n v="28"/>
    <n v="27"/>
    <n v="27"/>
    <n v="27"/>
    <n v="27"/>
    <n v="28"/>
    <n v="28"/>
    <n v="28"/>
    <n v="27"/>
    <n v="28"/>
    <n v="331"/>
    <x v="7"/>
    <d v="2026-09-20T00:00:00"/>
    <n v="1986"/>
    <n v="5"/>
    <x v="1"/>
  </r>
  <r>
    <n v="181"/>
    <n v="126981"/>
    <s v="CUSTOMER181"/>
    <x v="1"/>
    <x v="1"/>
    <x v="0"/>
    <s v="Rajasthanpatrika"/>
    <x v="1"/>
    <n v="27"/>
    <n v="27"/>
    <n v="28"/>
    <n v="27"/>
    <n v="27"/>
    <n v="27"/>
    <n v="27"/>
    <n v="27"/>
    <n v="28"/>
    <n v="28"/>
    <n v="28"/>
    <n v="28"/>
    <n v="329"/>
    <x v="6"/>
    <d v="2026-04-21T00:00:00"/>
    <n v="1974"/>
    <n v="4"/>
    <x v="1"/>
  </r>
  <r>
    <n v="182"/>
    <n v="126982"/>
    <s v="CUSTOMER182"/>
    <x v="1"/>
    <x v="30"/>
    <x v="2"/>
    <s v="Rajasthanpatrika"/>
    <x v="2"/>
    <n v="27"/>
    <n v="27"/>
    <n v="28"/>
    <n v="27"/>
    <n v="28"/>
    <n v="27"/>
    <n v="28"/>
    <n v="28"/>
    <n v="28"/>
    <n v="27"/>
    <n v="28"/>
    <n v="28"/>
    <n v="331"/>
    <x v="2"/>
    <d v="2026-07-26T00:00:00"/>
    <n v="1986"/>
    <n v="5"/>
    <x v="0"/>
  </r>
  <r>
    <n v="183"/>
    <n v="126983"/>
    <s v="CUSTOMER183"/>
    <x v="0"/>
    <x v="8"/>
    <x v="0"/>
    <s v="DainikJagran"/>
    <x v="1"/>
    <n v="28"/>
    <n v="28"/>
    <n v="28"/>
    <n v="27"/>
    <n v="28"/>
    <n v="28"/>
    <n v="28"/>
    <n v="28"/>
    <n v="28"/>
    <n v="27"/>
    <n v="28"/>
    <n v="27"/>
    <n v="333"/>
    <x v="5"/>
    <d v="2026-02-20T00:00:00"/>
    <n v="1998"/>
    <n v="4"/>
    <x v="1"/>
  </r>
  <r>
    <n v="184"/>
    <n v="126984"/>
    <s v="CUSTOMER184"/>
    <x v="0"/>
    <x v="17"/>
    <x v="1"/>
    <s v="Rajasthanpatrika"/>
    <x v="1"/>
    <n v="27"/>
    <n v="27"/>
    <n v="27"/>
    <n v="28"/>
    <n v="28"/>
    <n v="28"/>
    <n v="28"/>
    <n v="28"/>
    <n v="28"/>
    <n v="28"/>
    <n v="27"/>
    <n v="28"/>
    <n v="332"/>
    <x v="1"/>
    <d v="2026-06-22T00:00:00"/>
    <n v="1992"/>
    <n v="3"/>
    <x v="1"/>
  </r>
  <r>
    <n v="185"/>
    <n v="126985"/>
    <s v="CUSTOMER185"/>
    <x v="0"/>
    <x v="31"/>
    <x v="2"/>
    <s v="DainikBhaskar"/>
    <x v="0"/>
    <n v="27"/>
    <n v="27"/>
    <n v="27"/>
    <n v="27"/>
    <n v="27"/>
    <n v="28"/>
    <n v="28"/>
    <n v="28"/>
    <n v="28"/>
    <n v="28"/>
    <n v="27"/>
    <n v="27"/>
    <n v="329"/>
    <x v="7"/>
    <d v="2026-09-21T00:00:00"/>
    <n v="1974"/>
    <n v="4"/>
    <x v="0"/>
  </r>
  <r>
    <n v="186"/>
    <n v="126986"/>
    <s v="CUSTOMER186"/>
    <x v="0"/>
    <x v="9"/>
    <x v="0"/>
    <s v="TheTimesofIndia"/>
    <x v="0"/>
    <n v="28"/>
    <n v="28"/>
    <n v="27"/>
    <n v="28"/>
    <n v="27"/>
    <n v="27"/>
    <n v="27"/>
    <n v="27"/>
    <n v="28"/>
    <n v="27"/>
    <n v="27"/>
    <n v="28"/>
    <n v="329"/>
    <x v="3"/>
    <d v="2026-05-22T00:00:00"/>
    <n v="1974"/>
    <n v="3"/>
    <x v="0"/>
  </r>
  <r>
    <n v="187"/>
    <n v="126987"/>
    <s v="CUSTOMER187"/>
    <x v="0"/>
    <x v="31"/>
    <x v="2"/>
    <s v="DainikJagran"/>
    <x v="0"/>
    <n v="27"/>
    <n v="28"/>
    <n v="27"/>
    <n v="27"/>
    <n v="28"/>
    <n v="28"/>
    <n v="27"/>
    <n v="28"/>
    <n v="28"/>
    <n v="27"/>
    <n v="28"/>
    <n v="27"/>
    <n v="330"/>
    <x v="7"/>
    <d v="2026-09-05T00:00:00"/>
    <n v="1980"/>
    <n v="5"/>
    <x v="0"/>
  </r>
  <r>
    <n v="188"/>
    <n v="126988"/>
    <s v="CUSTOMER188"/>
    <x v="1"/>
    <x v="26"/>
    <x v="2"/>
    <s v="DainikJagran"/>
    <x v="0"/>
    <n v="27"/>
    <n v="27"/>
    <n v="27"/>
    <n v="28"/>
    <n v="28"/>
    <n v="27"/>
    <n v="28"/>
    <n v="27"/>
    <n v="27"/>
    <n v="28"/>
    <n v="27"/>
    <n v="28"/>
    <n v="329"/>
    <x v="8"/>
    <d v="2026-08-28T00:00:00"/>
    <n v="1974"/>
    <n v="3"/>
    <x v="1"/>
  </r>
  <r>
    <n v="189"/>
    <n v="126989"/>
    <s v="CUSTOMER189"/>
    <x v="0"/>
    <x v="19"/>
    <x v="2"/>
    <s v="PunjabKesri"/>
    <x v="2"/>
    <n v="27"/>
    <n v="27"/>
    <n v="27"/>
    <n v="27"/>
    <n v="28"/>
    <n v="28"/>
    <n v="28"/>
    <n v="27"/>
    <n v="27"/>
    <n v="28"/>
    <n v="27"/>
    <n v="27"/>
    <n v="328"/>
    <x v="0"/>
    <d v="2026-03-20T00:00:00"/>
    <n v="1968"/>
    <n v="3"/>
    <x v="1"/>
  </r>
  <r>
    <n v="190"/>
    <n v="126990"/>
    <s v="CUSTOMER190"/>
    <x v="0"/>
    <x v="15"/>
    <x v="1"/>
    <s v="Rajasthanpatrika"/>
    <x v="0"/>
    <n v="27"/>
    <n v="27"/>
    <n v="27"/>
    <n v="27"/>
    <n v="28"/>
    <n v="28"/>
    <n v="27"/>
    <n v="28"/>
    <n v="28"/>
    <n v="27"/>
    <n v="27"/>
    <n v="28"/>
    <n v="329"/>
    <x v="0"/>
    <d v="2026-03-20T00:00:00"/>
    <n v="1974"/>
    <n v="5"/>
    <x v="0"/>
  </r>
  <r>
    <n v="191"/>
    <n v="126991"/>
    <s v="CUSTOMER191"/>
    <x v="0"/>
    <x v="28"/>
    <x v="3"/>
    <s v="DainikJagran"/>
    <x v="0"/>
    <n v="27"/>
    <n v="27"/>
    <n v="27"/>
    <n v="27"/>
    <n v="27"/>
    <n v="27"/>
    <n v="28"/>
    <n v="28"/>
    <n v="27"/>
    <n v="27"/>
    <n v="28"/>
    <n v="28"/>
    <n v="328"/>
    <x v="6"/>
    <d v="2026-04-23T00:00:00"/>
    <n v="1968"/>
    <n v="4"/>
    <x v="0"/>
  </r>
  <r>
    <n v="192"/>
    <n v="126992"/>
    <s v="CUSTOMER192"/>
    <x v="1"/>
    <x v="7"/>
    <x v="1"/>
    <s v="TheTimesofIndia"/>
    <x v="1"/>
    <n v="27"/>
    <n v="27"/>
    <n v="28"/>
    <n v="27"/>
    <n v="27"/>
    <n v="27"/>
    <n v="28"/>
    <n v="28"/>
    <n v="27"/>
    <n v="27"/>
    <n v="27"/>
    <n v="28"/>
    <n v="328"/>
    <x v="5"/>
    <d v="2026-02-11T00:00:00"/>
    <n v="1968"/>
    <n v="3"/>
    <x v="1"/>
  </r>
  <r>
    <n v="193"/>
    <n v="126993"/>
    <s v="CUSTOMER193"/>
    <x v="0"/>
    <x v="10"/>
    <x v="2"/>
    <s v="TheTimesofIndia"/>
    <x v="0"/>
    <n v="28"/>
    <n v="28"/>
    <n v="27"/>
    <n v="27"/>
    <n v="27"/>
    <n v="27"/>
    <n v="28"/>
    <n v="27"/>
    <n v="27"/>
    <n v="27"/>
    <n v="27"/>
    <n v="27"/>
    <n v="327"/>
    <x v="0"/>
    <d v="2026-03-03T00:00:00"/>
    <n v="1962"/>
    <n v="3"/>
    <x v="1"/>
  </r>
  <r>
    <n v="194"/>
    <n v="126994"/>
    <s v="CUSTOMER194"/>
    <x v="1"/>
    <x v="32"/>
    <x v="1"/>
    <s v="Rajasthanpatrika"/>
    <x v="2"/>
    <n v="27"/>
    <n v="28"/>
    <n v="28"/>
    <n v="28"/>
    <n v="28"/>
    <n v="27"/>
    <n v="28"/>
    <n v="28"/>
    <n v="28"/>
    <n v="28"/>
    <n v="27"/>
    <n v="28"/>
    <n v="333"/>
    <x v="4"/>
    <d v="2026-01-19T00:00:00"/>
    <n v="1998"/>
    <n v="3"/>
    <x v="0"/>
  </r>
  <r>
    <n v="195"/>
    <n v="126995"/>
    <s v="CUSTOMER195"/>
    <x v="1"/>
    <x v="16"/>
    <x v="1"/>
    <s v="DainikBhaskar"/>
    <x v="1"/>
    <n v="28"/>
    <n v="27"/>
    <n v="27"/>
    <n v="27"/>
    <n v="28"/>
    <n v="28"/>
    <n v="27"/>
    <n v="27"/>
    <n v="27"/>
    <n v="27"/>
    <n v="27"/>
    <n v="28"/>
    <n v="328"/>
    <x v="1"/>
    <d v="2026-06-16T00:00:00"/>
    <n v="1968"/>
    <n v="5"/>
    <x v="1"/>
  </r>
  <r>
    <n v="196"/>
    <n v="126996"/>
    <s v="CUSTOMER196"/>
    <x v="0"/>
    <x v="20"/>
    <x v="3"/>
    <s v="TheTimesofIndia"/>
    <x v="0"/>
    <n v="28"/>
    <n v="27"/>
    <n v="28"/>
    <n v="28"/>
    <n v="27"/>
    <n v="28"/>
    <n v="28"/>
    <n v="27"/>
    <n v="27"/>
    <n v="28"/>
    <n v="27"/>
    <n v="27"/>
    <n v="330"/>
    <x v="6"/>
    <d v="2026-04-13T00:00:00"/>
    <n v="1980"/>
    <n v="5"/>
    <x v="0"/>
  </r>
  <r>
    <n v="197"/>
    <n v="126997"/>
    <s v="CUSTOMER197"/>
    <x v="0"/>
    <x v="18"/>
    <x v="1"/>
    <s v="TheTimesofIndia"/>
    <x v="0"/>
    <n v="28"/>
    <n v="28"/>
    <n v="27"/>
    <n v="27"/>
    <n v="28"/>
    <n v="28"/>
    <n v="28"/>
    <n v="28"/>
    <n v="27"/>
    <n v="28"/>
    <n v="27"/>
    <n v="27"/>
    <n v="331"/>
    <x v="6"/>
    <d v="2026-04-02T00:00:00"/>
    <n v="1986"/>
    <n v="5"/>
    <x v="1"/>
  </r>
  <r>
    <n v="198"/>
    <n v="126998"/>
    <s v="CUSTOMER198"/>
    <x v="0"/>
    <x v="25"/>
    <x v="3"/>
    <s v="TheTimesofIndia"/>
    <x v="0"/>
    <n v="27"/>
    <n v="27"/>
    <n v="27"/>
    <n v="28"/>
    <n v="28"/>
    <n v="28"/>
    <n v="28"/>
    <n v="27"/>
    <n v="27"/>
    <n v="28"/>
    <n v="27"/>
    <n v="28"/>
    <n v="330"/>
    <x v="2"/>
    <d v="2026-07-16T00:00:00"/>
    <n v="1980"/>
    <n v="4"/>
    <x v="1"/>
  </r>
  <r>
    <n v="199"/>
    <n v="126999"/>
    <s v="CUSTOMER199"/>
    <x v="0"/>
    <x v="21"/>
    <x v="3"/>
    <s v="DainikBhaskar"/>
    <x v="1"/>
    <n v="28"/>
    <n v="28"/>
    <n v="28"/>
    <n v="28"/>
    <n v="27"/>
    <n v="27"/>
    <n v="27"/>
    <n v="27"/>
    <n v="28"/>
    <n v="28"/>
    <n v="28"/>
    <n v="27"/>
    <n v="331"/>
    <x v="8"/>
    <d v="2026-08-12T00:00:00"/>
    <n v="1986"/>
    <n v="3"/>
    <x v="1"/>
  </r>
  <r>
    <n v="200"/>
    <n v="127000"/>
    <s v="CUSTOMER200"/>
    <x v="0"/>
    <x v="20"/>
    <x v="3"/>
    <s v="DainikJagran"/>
    <x v="2"/>
    <n v="28"/>
    <n v="27"/>
    <n v="28"/>
    <n v="27"/>
    <n v="28"/>
    <n v="28"/>
    <n v="28"/>
    <n v="28"/>
    <n v="28"/>
    <n v="28"/>
    <n v="27"/>
    <n v="27"/>
    <n v="332"/>
    <x v="1"/>
    <d v="2026-06-15T00:00:00"/>
    <n v="1992"/>
    <n v="3"/>
    <x v="1"/>
  </r>
  <r>
    <n v="201"/>
    <n v="127001"/>
    <s v="CUSTOMER201"/>
    <x v="0"/>
    <x v="31"/>
    <x v="2"/>
    <s v="TheTimesofIndia"/>
    <x v="0"/>
    <n v="27"/>
    <n v="28"/>
    <n v="28"/>
    <n v="27"/>
    <n v="27"/>
    <n v="28"/>
    <n v="27"/>
    <n v="27"/>
    <n v="28"/>
    <n v="27"/>
    <n v="27"/>
    <n v="28"/>
    <n v="329"/>
    <x v="8"/>
    <d v="2026-08-28T00:00:00"/>
    <n v="1974"/>
    <n v="4"/>
    <x v="1"/>
  </r>
  <r>
    <n v="202"/>
    <n v="127002"/>
    <s v="CUSTOMER202"/>
    <x v="0"/>
    <x v="28"/>
    <x v="3"/>
    <s v="TheTimesofIndia"/>
    <x v="2"/>
    <n v="27"/>
    <n v="27"/>
    <n v="27"/>
    <n v="27"/>
    <n v="27"/>
    <n v="27"/>
    <n v="28"/>
    <n v="27"/>
    <n v="27"/>
    <n v="28"/>
    <n v="28"/>
    <n v="28"/>
    <n v="328"/>
    <x v="0"/>
    <d v="2026-03-26T00:00:00"/>
    <n v="1968"/>
    <n v="5"/>
    <x v="0"/>
  </r>
  <r>
    <n v="203"/>
    <n v="127003"/>
    <s v="CUSTOMER203"/>
    <x v="0"/>
    <x v="5"/>
    <x v="0"/>
    <s v="TheTimesofIndia"/>
    <x v="0"/>
    <n v="27"/>
    <n v="27"/>
    <n v="28"/>
    <n v="28"/>
    <n v="28"/>
    <n v="28"/>
    <n v="27"/>
    <n v="27"/>
    <n v="28"/>
    <n v="28"/>
    <n v="27"/>
    <n v="28"/>
    <n v="331"/>
    <x v="6"/>
    <d v="2026-04-14T00:00:00"/>
    <n v="1986"/>
    <n v="4"/>
    <x v="0"/>
  </r>
  <r>
    <n v="204"/>
    <n v="127004"/>
    <s v="CUSTOMER204"/>
    <x v="1"/>
    <x v="11"/>
    <x v="2"/>
    <s v="PunjabKesri"/>
    <x v="2"/>
    <n v="28"/>
    <n v="27"/>
    <n v="28"/>
    <n v="27"/>
    <n v="28"/>
    <n v="28"/>
    <n v="27"/>
    <n v="27"/>
    <n v="27"/>
    <n v="28"/>
    <n v="28"/>
    <n v="27"/>
    <n v="330"/>
    <x v="5"/>
    <d v="2026-02-10T00:00:00"/>
    <n v="1980"/>
    <n v="3"/>
    <x v="1"/>
  </r>
  <r>
    <n v="205"/>
    <n v="127005"/>
    <s v="CUSTOMER205"/>
    <x v="0"/>
    <x v="29"/>
    <x v="3"/>
    <s v="DainikJagran"/>
    <x v="2"/>
    <n v="28"/>
    <n v="27"/>
    <n v="27"/>
    <n v="27"/>
    <n v="28"/>
    <n v="27"/>
    <n v="27"/>
    <n v="28"/>
    <n v="27"/>
    <n v="27"/>
    <n v="28"/>
    <n v="27"/>
    <n v="328"/>
    <x v="3"/>
    <d v="2026-05-27T00:00:00"/>
    <n v="1968"/>
    <n v="4"/>
    <x v="1"/>
  </r>
  <r>
    <n v="206"/>
    <n v="127006"/>
    <s v="CUSTOMER206"/>
    <x v="1"/>
    <x v="3"/>
    <x v="0"/>
    <s v="DainikBhaskar"/>
    <x v="2"/>
    <n v="27"/>
    <n v="28"/>
    <n v="27"/>
    <n v="28"/>
    <n v="27"/>
    <n v="28"/>
    <n v="27"/>
    <n v="27"/>
    <n v="28"/>
    <n v="27"/>
    <n v="28"/>
    <n v="28"/>
    <n v="330"/>
    <x v="7"/>
    <d v="2026-09-02T00:00:00"/>
    <n v="1980"/>
    <n v="5"/>
    <x v="1"/>
  </r>
  <r>
    <n v="207"/>
    <n v="127007"/>
    <s v="CUSTOMER207"/>
    <x v="1"/>
    <x v="21"/>
    <x v="3"/>
    <s v="TheTimesofIndia"/>
    <x v="2"/>
    <n v="27"/>
    <n v="28"/>
    <n v="28"/>
    <n v="28"/>
    <n v="28"/>
    <n v="27"/>
    <n v="27"/>
    <n v="27"/>
    <n v="27"/>
    <n v="28"/>
    <n v="28"/>
    <n v="27"/>
    <n v="330"/>
    <x v="3"/>
    <d v="2026-05-29T00:00:00"/>
    <n v="1980"/>
    <n v="4"/>
    <x v="0"/>
  </r>
  <r>
    <n v="208"/>
    <n v="127008"/>
    <s v="CUSTOMER208"/>
    <x v="0"/>
    <x v="31"/>
    <x v="2"/>
    <s v="DainikJagran"/>
    <x v="1"/>
    <n v="27"/>
    <n v="28"/>
    <n v="27"/>
    <n v="27"/>
    <n v="27"/>
    <n v="28"/>
    <n v="28"/>
    <n v="28"/>
    <n v="27"/>
    <n v="28"/>
    <n v="28"/>
    <n v="28"/>
    <n v="331"/>
    <x v="2"/>
    <d v="2026-07-10T00:00:00"/>
    <n v="1986"/>
    <n v="5"/>
    <x v="0"/>
  </r>
  <r>
    <n v="209"/>
    <n v="127009"/>
    <s v="CUSTOMER209"/>
    <x v="0"/>
    <x v="29"/>
    <x v="3"/>
    <s v="DainikBhaskar"/>
    <x v="2"/>
    <n v="28"/>
    <n v="27"/>
    <n v="28"/>
    <n v="27"/>
    <n v="28"/>
    <n v="27"/>
    <n v="28"/>
    <n v="27"/>
    <n v="27"/>
    <n v="27"/>
    <n v="28"/>
    <n v="28"/>
    <n v="330"/>
    <x v="2"/>
    <d v="2026-07-27T00:00:00"/>
    <n v="1980"/>
    <n v="3"/>
    <x v="1"/>
  </r>
  <r>
    <n v="210"/>
    <n v="127010"/>
    <s v="CUSTOMER210"/>
    <x v="0"/>
    <x v="10"/>
    <x v="2"/>
    <s v="Rajasthanpatrika"/>
    <x v="0"/>
    <n v="27"/>
    <n v="27"/>
    <n v="28"/>
    <n v="28"/>
    <n v="28"/>
    <n v="27"/>
    <n v="28"/>
    <n v="28"/>
    <n v="28"/>
    <n v="27"/>
    <n v="28"/>
    <n v="28"/>
    <n v="332"/>
    <x v="2"/>
    <d v="2026-07-24T00:00:00"/>
    <n v="1992"/>
    <n v="4"/>
    <x v="1"/>
  </r>
  <r>
    <n v="211"/>
    <n v="127011"/>
    <s v="CUSTOMER211"/>
    <x v="0"/>
    <x v="26"/>
    <x v="2"/>
    <s v="TheTimesofIndia"/>
    <x v="0"/>
    <n v="27"/>
    <n v="28"/>
    <n v="27"/>
    <n v="28"/>
    <n v="27"/>
    <n v="27"/>
    <n v="28"/>
    <n v="28"/>
    <n v="28"/>
    <n v="27"/>
    <n v="28"/>
    <n v="28"/>
    <n v="331"/>
    <x v="6"/>
    <d v="2026-04-16T00:00:00"/>
    <n v="1986"/>
    <n v="5"/>
    <x v="1"/>
  </r>
  <r>
    <n v="212"/>
    <n v="127012"/>
    <s v="CUSTOMER212"/>
    <x v="0"/>
    <x v="5"/>
    <x v="0"/>
    <s v="DainikBhaskar"/>
    <x v="0"/>
    <n v="28"/>
    <n v="27"/>
    <n v="27"/>
    <n v="28"/>
    <n v="28"/>
    <n v="28"/>
    <n v="28"/>
    <n v="27"/>
    <n v="28"/>
    <n v="27"/>
    <n v="27"/>
    <n v="28"/>
    <n v="331"/>
    <x v="2"/>
    <d v="2026-07-28T00:00:00"/>
    <n v="1986"/>
    <n v="3"/>
    <x v="1"/>
  </r>
  <r>
    <n v="213"/>
    <n v="127013"/>
    <s v="CUSTOMER213"/>
    <x v="0"/>
    <x v="9"/>
    <x v="0"/>
    <s v="TheTimesofIndia"/>
    <x v="0"/>
    <n v="27"/>
    <n v="27"/>
    <n v="27"/>
    <n v="27"/>
    <n v="28"/>
    <n v="28"/>
    <n v="27"/>
    <n v="28"/>
    <n v="28"/>
    <n v="28"/>
    <n v="28"/>
    <n v="28"/>
    <n v="331"/>
    <x v="1"/>
    <d v="2026-06-12T00:00:00"/>
    <n v="1986"/>
    <n v="5"/>
    <x v="1"/>
  </r>
  <r>
    <n v="214"/>
    <n v="127014"/>
    <s v="CUSTOMER214"/>
    <x v="0"/>
    <x v="26"/>
    <x v="2"/>
    <s v="TheTimesofIndia"/>
    <x v="0"/>
    <n v="27"/>
    <n v="28"/>
    <n v="28"/>
    <n v="27"/>
    <n v="28"/>
    <n v="27"/>
    <n v="27"/>
    <n v="27"/>
    <n v="28"/>
    <n v="27"/>
    <n v="27"/>
    <n v="28"/>
    <n v="329"/>
    <x v="8"/>
    <d v="2026-08-20T00:00:00"/>
    <n v="1974"/>
    <n v="3"/>
    <x v="0"/>
  </r>
  <r>
    <n v="215"/>
    <n v="127015"/>
    <s v="CUSTOMER215"/>
    <x v="1"/>
    <x v="30"/>
    <x v="2"/>
    <s v="TheTimesofIndia"/>
    <x v="1"/>
    <n v="28"/>
    <n v="27"/>
    <n v="27"/>
    <n v="28"/>
    <n v="28"/>
    <n v="28"/>
    <n v="28"/>
    <n v="28"/>
    <n v="28"/>
    <n v="27"/>
    <n v="27"/>
    <n v="28"/>
    <n v="332"/>
    <x v="4"/>
    <d v="2026-01-16T00:00:00"/>
    <n v="1992"/>
    <n v="5"/>
    <x v="1"/>
  </r>
  <r>
    <n v="216"/>
    <n v="127016"/>
    <s v="CUSTOMER216"/>
    <x v="1"/>
    <x v="25"/>
    <x v="3"/>
    <s v="DainikJagran"/>
    <x v="1"/>
    <n v="27"/>
    <n v="28"/>
    <n v="27"/>
    <n v="27"/>
    <n v="27"/>
    <n v="28"/>
    <n v="27"/>
    <n v="28"/>
    <n v="27"/>
    <n v="27"/>
    <n v="28"/>
    <n v="27"/>
    <n v="328"/>
    <x v="8"/>
    <d v="2026-08-06T00:00:00"/>
    <n v="1968"/>
    <n v="4"/>
    <x v="1"/>
  </r>
  <r>
    <n v="217"/>
    <n v="127017"/>
    <s v="CUSTOMER217"/>
    <x v="0"/>
    <x v="30"/>
    <x v="2"/>
    <s v="Rajasthanpatrika"/>
    <x v="0"/>
    <n v="28"/>
    <n v="28"/>
    <n v="28"/>
    <n v="27"/>
    <n v="28"/>
    <n v="28"/>
    <n v="28"/>
    <n v="28"/>
    <n v="27"/>
    <n v="27"/>
    <n v="27"/>
    <n v="28"/>
    <n v="332"/>
    <x v="0"/>
    <d v="2026-03-19T00:00:00"/>
    <n v="1992"/>
    <n v="3"/>
    <x v="0"/>
  </r>
  <r>
    <n v="218"/>
    <n v="127018"/>
    <s v="CUSTOMER218"/>
    <x v="0"/>
    <x v="17"/>
    <x v="1"/>
    <s v="DainikBhaskar"/>
    <x v="2"/>
    <n v="27"/>
    <n v="27"/>
    <n v="27"/>
    <n v="28"/>
    <n v="27"/>
    <n v="27"/>
    <n v="27"/>
    <n v="28"/>
    <n v="28"/>
    <n v="27"/>
    <n v="28"/>
    <n v="28"/>
    <n v="329"/>
    <x v="6"/>
    <d v="2026-04-08T00:00:00"/>
    <n v="1974"/>
    <n v="5"/>
    <x v="1"/>
  </r>
  <r>
    <n v="219"/>
    <n v="127019"/>
    <s v="CUSTOMER219"/>
    <x v="0"/>
    <x v="4"/>
    <x v="0"/>
    <s v="DainikJagran"/>
    <x v="2"/>
    <n v="27"/>
    <n v="27"/>
    <n v="27"/>
    <n v="28"/>
    <n v="27"/>
    <n v="28"/>
    <n v="27"/>
    <n v="27"/>
    <n v="28"/>
    <n v="27"/>
    <n v="27"/>
    <n v="28"/>
    <n v="328"/>
    <x v="8"/>
    <d v="2026-08-07T00:00:00"/>
    <n v="1968"/>
    <n v="4"/>
    <x v="1"/>
  </r>
  <r>
    <n v="220"/>
    <n v="127020"/>
    <s v="CUSTOMER220"/>
    <x v="0"/>
    <x v="29"/>
    <x v="3"/>
    <s v="DainikJagran"/>
    <x v="0"/>
    <n v="28"/>
    <n v="27"/>
    <n v="28"/>
    <n v="28"/>
    <n v="28"/>
    <n v="27"/>
    <n v="28"/>
    <n v="27"/>
    <n v="27"/>
    <n v="28"/>
    <n v="27"/>
    <n v="27"/>
    <n v="330"/>
    <x v="7"/>
    <d v="2026-09-16T00:00:00"/>
    <n v="1980"/>
    <n v="4"/>
    <x v="0"/>
  </r>
  <r>
    <n v="221"/>
    <n v="127021"/>
    <s v="CUSTOMER221"/>
    <x v="0"/>
    <x v="18"/>
    <x v="1"/>
    <s v="PunjabKesri"/>
    <x v="2"/>
    <n v="27"/>
    <n v="27"/>
    <n v="28"/>
    <n v="27"/>
    <n v="28"/>
    <n v="28"/>
    <n v="27"/>
    <n v="27"/>
    <n v="28"/>
    <n v="27"/>
    <n v="27"/>
    <n v="27"/>
    <n v="328"/>
    <x v="2"/>
    <d v="2026-07-07T00:00:00"/>
    <n v="1968"/>
    <n v="5"/>
    <x v="0"/>
  </r>
  <r>
    <n v="222"/>
    <n v="127022"/>
    <s v="CUSTOMER222"/>
    <x v="1"/>
    <x v="22"/>
    <x v="1"/>
    <s v="TheTimesofIndia"/>
    <x v="2"/>
    <n v="28"/>
    <n v="28"/>
    <n v="28"/>
    <n v="27"/>
    <n v="28"/>
    <n v="27"/>
    <n v="28"/>
    <n v="28"/>
    <n v="28"/>
    <n v="28"/>
    <n v="28"/>
    <n v="28"/>
    <n v="334"/>
    <x v="7"/>
    <d v="2026-09-15T00:00:00"/>
    <n v="2004"/>
    <n v="5"/>
    <x v="1"/>
  </r>
  <r>
    <n v="223"/>
    <n v="127023"/>
    <s v="CUSTOMER223"/>
    <x v="0"/>
    <x v="17"/>
    <x v="1"/>
    <s v="DainikBhaskar"/>
    <x v="2"/>
    <n v="27"/>
    <n v="28"/>
    <n v="28"/>
    <n v="27"/>
    <n v="27"/>
    <n v="28"/>
    <n v="28"/>
    <n v="27"/>
    <n v="28"/>
    <n v="28"/>
    <n v="28"/>
    <n v="28"/>
    <n v="332"/>
    <x v="8"/>
    <d v="2026-08-08T00:00:00"/>
    <n v="1992"/>
    <n v="3"/>
    <x v="1"/>
  </r>
  <r>
    <n v="224"/>
    <n v="127024"/>
    <s v="CUSTOMER224"/>
    <x v="0"/>
    <x v="18"/>
    <x v="1"/>
    <s v="DainikJagran"/>
    <x v="0"/>
    <n v="27"/>
    <n v="28"/>
    <n v="28"/>
    <n v="28"/>
    <n v="28"/>
    <n v="27"/>
    <n v="27"/>
    <n v="27"/>
    <n v="28"/>
    <n v="28"/>
    <n v="28"/>
    <n v="27"/>
    <n v="331"/>
    <x v="5"/>
    <d v="2026-02-04T00:00:00"/>
    <n v="1986"/>
    <n v="5"/>
    <x v="1"/>
  </r>
  <r>
    <n v="225"/>
    <n v="127025"/>
    <s v="CUSTOMER225"/>
    <x v="0"/>
    <x v="15"/>
    <x v="1"/>
    <s v="PunjabKesri"/>
    <x v="1"/>
    <n v="27"/>
    <n v="28"/>
    <n v="27"/>
    <n v="28"/>
    <n v="27"/>
    <n v="27"/>
    <n v="27"/>
    <n v="27"/>
    <n v="28"/>
    <n v="28"/>
    <n v="27"/>
    <n v="27"/>
    <n v="328"/>
    <x v="6"/>
    <d v="2026-04-17T00:00:00"/>
    <n v="1968"/>
    <n v="5"/>
    <x v="1"/>
  </r>
  <r>
    <n v="226"/>
    <n v="127026"/>
    <s v="CUSTOMER226"/>
    <x v="1"/>
    <x v="13"/>
    <x v="1"/>
    <s v="TheTimesofIndia"/>
    <x v="1"/>
    <n v="28"/>
    <n v="28"/>
    <n v="28"/>
    <n v="28"/>
    <n v="28"/>
    <n v="28"/>
    <n v="28"/>
    <n v="27"/>
    <n v="27"/>
    <n v="28"/>
    <n v="27"/>
    <n v="28"/>
    <n v="333"/>
    <x v="6"/>
    <d v="2026-04-23T00:00:00"/>
    <n v="1998"/>
    <n v="5"/>
    <x v="0"/>
  </r>
  <r>
    <n v="227"/>
    <n v="127027"/>
    <s v="CUSTOMER227"/>
    <x v="0"/>
    <x v="18"/>
    <x v="1"/>
    <s v="TheTimesofIndia"/>
    <x v="2"/>
    <n v="27"/>
    <n v="27"/>
    <n v="27"/>
    <n v="27"/>
    <n v="27"/>
    <n v="28"/>
    <n v="28"/>
    <n v="28"/>
    <n v="27"/>
    <n v="28"/>
    <n v="27"/>
    <n v="28"/>
    <n v="329"/>
    <x v="0"/>
    <d v="2026-03-29T00:00:00"/>
    <n v="1974"/>
    <n v="3"/>
    <x v="0"/>
  </r>
  <r>
    <n v="228"/>
    <n v="127028"/>
    <s v="CUSTOMER228"/>
    <x v="1"/>
    <x v="3"/>
    <x v="0"/>
    <s v="TheTimesofIndia"/>
    <x v="0"/>
    <n v="28"/>
    <n v="27"/>
    <n v="28"/>
    <n v="28"/>
    <n v="27"/>
    <n v="28"/>
    <n v="28"/>
    <n v="28"/>
    <n v="27"/>
    <n v="27"/>
    <n v="28"/>
    <n v="27"/>
    <n v="331"/>
    <x v="6"/>
    <d v="2026-04-04T00:00:00"/>
    <n v="1986"/>
    <n v="5"/>
    <x v="1"/>
  </r>
  <r>
    <n v="229"/>
    <n v="127029"/>
    <s v="CUSTOMER229"/>
    <x v="1"/>
    <x v="24"/>
    <x v="2"/>
    <s v="DainikJagran"/>
    <x v="1"/>
    <n v="28"/>
    <n v="27"/>
    <n v="28"/>
    <n v="28"/>
    <n v="27"/>
    <n v="27"/>
    <n v="27"/>
    <n v="28"/>
    <n v="28"/>
    <n v="28"/>
    <n v="27"/>
    <n v="28"/>
    <n v="331"/>
    <x v="8"/>
    <d v="2026-08-23T00:00:00"/>
    <n v="1986"/>
    <n v="5"/>
    <x v="1"/>
  </r>
  <r>
    <n v="230"/>
    <n v="127030"/>
    <s v="CUSTOMER230"/>
    <x v="0"/>
    <x v="26"/>
    <x v="2"/>
    <s v="Rajasthanpatrika"/>
    <x v="1"/>
    <n v="27"/>
    <n v="28"/>
    <n v="27"/>
    <n v="28"/>
    <n v="28"/>
    <n v="27"/>
    <n v="28"/>
    <n v="27"/>
    <n v="28"/>
    <n v="27"/>
    <n v="27"/>
    <n v="27"/>
    <n v="329"/>
    <x v="2"/>
    <d v="2026-07-25T00:00:00"/>
    <n v="1974"/>
    <n v="5"/>
    <x v="1"/>
  </r>
  <r>
    <n v="231"/>
    <n v="127031"/>
    <s v="CUSTOMER231"/>
    <x v="0"/>
    <x v="22"/>
    <x v="1"/>
    <s v="Rajasthanpatrika"/>
    <x v="1"/>
    <n v="27"/>
    <n v="28"/>
    <n v="28"/>
    <n v="28"/>
    <n v="28"/>
    <n v="28"/>
    <n v="28"/>
    <n v="27"/>
    <n v="28"/>
    <n v="28"/>
    <n v="28"/>
    <n v="28"/>
    <n v="334"/>
    <x v="7"/>
    <d v="2026-09-30T00:00:00"/>
    <n v="2004"/>
    <n v="4"/>
    <x v="1"/>
  </r>
  <r>
    <n v="232"/>
    <n v="127032"/>
    <s v="CUSTOMER232"/>
    <x v="0"/>
    <x v="24"/>
    <x v="2"/>
    <s v="DainikJagran"/>
    <x v="0"/>
    <n v="27"/>
    <n v="27"/>
    <n v="28"/>
    <n v="28"/>
    <n v="28"/>
    <n v="27"/>
    <n v="27"/>
    <n v="28"/>
    <n v="28"/>
    <n v="27"/>
    <n v="27"/>
    <n v="28"/>
    <n v="330"/>
    <x v="1"/>
    <d v="2026-06-03T00:00:00"/>
    <n v="1980"/>
    <n v="5"/>
    <x v="0"/>
  </r>
  <r>
    <n v="233"/>
    <n v="127033"/>
    <s v="CUSTOMER233"/>
    <x v="0"/>
    <x v="8"/>
    <x v="0"/>
    <s v="PunjabKesri"/>
    <x v="2"/>
    <n v="28"/>
    <n v="27"/>
    <n v="27"/>
    <n v="27"/>
    <n v="28"/>
    <n v="27"/>
    <n v="28"/>
    <n v="28"/>
    <n v="27"/>
    <n v="27"/>
    <n v="28"/>
    <n v="28"/>
    <n v="330"/>
    <x v="0"/>
    <d v="2026-03-14T00:00:00"/>
    <n v="1980"/>
    <n v="5"/>
    <x v="1"/>
  </r>
  <r>
    <n v="234"/>
    <n v="127034"/>
    <s v="CUSTOMER234"/>
    <x v="0"/>
    <x v="21"/>
    <x v="3"/>
    <s v="Rajasthanpatrika"/>
    <x v="0"/>
    <n v="27"/>
    <n v="27"/>
    <n v="28"/>
    <n v="27"/>
    <n v="27"/>
    <n v="27"/>
    <n v="27"/>
    <n v="27"/>
    <n v="27"/>
    <n v="28"/>
    <n v="27"/>
    <n v="28"/>
    <n v="327"/>
    <x v="6"/>
    <d v="2026-04-12T00:00:00"/>
    <n v="1962"/>
    <n v="3"/>
    <x v="0"/>
  </r>
  <r>
    <n v="235"/>
    <n v="127035"/>
    <s v="CUSTOMER235"/>
    <x v="0"/>
    <x v="18"/>
    <x v="1"/>
    <s v="Rajasthanpatrika"/>
    <x v="1"/>
    <n v="28"/>
    <n v="28"/>
    <n v="27"/>
    <n v="28"/>
    <n v="28"/>
    <n v="27"/>
    <n v="27"/>
    <n v="28"/>
    <n v="27"/>
    <n v="27"/>
    <n v="28"/>
    <n v="27"/>
    <n v="330"/>
    <x v="7"/>
    <d v="2026-09-09T00:00:00"/>
    <n v="1980"/>
    <n v="5"/>
    <x v="0"/>
  </r>
  <r>
    <n v="236"/>
    <n v="127036"/>
    <s v="CUSTOMER236"/>
    <x v="0"/>
    <x v="19"/>
    <x v="2"/>
    <s v="DainikBhaskar"/>
    <x v="0"/>
    <n v="28"/>
    <n v="28"/>
    <n v="27"/>
    <n v="28"/>
    <n v="27"/>
    <n v="28"/>
    <n v="28"/>
    <n v="28"/>
    <n v="28"/>
    <n v="28"/>
    <n v="27"/>
    <n v="28"/>
    <n v="333"/>
    <x v="2"/>
    <d v="2026-07-13T00:00:00"/>
    <n v="1998"/>
    <n v="3"/>
    <x v="0"/>
  </r>
  <r>
    <n v="237"/>
    <n v="127037"/>
    <s v="CUSTOMER237"/>
    <x v="1"/>
    <x v="7"/>
    <x v="1"/>
    <s v="PunjabKesri"/>
    <x v="1"/>
    <n v="28"/>
    <n v="27"/>
    <n v="27"/>
    <n v="27"/>
    <n v="28"/>
    <n v="28"/>
    <n v="27"/>
    <n v="28"/>
    <n v="28"/>
    <n v="28"/>
    <n v="28"/>
    <n v="28"/>
    <n v="332"/>
    <x v="2"/>
    <d v="2026-07-23T00:00:00"/>
    <n v="1992"/>
    <n v="4"/>
    <x v="0"/>
  </r>
  <r>
    <n v="238"/>
    <n v="127038"/>
    <s v="CUSTOMER238"/>
    <x v="1"/>
    <x v="1"/>
    <x v="0"/>
    <s v="Rajasthanpatrika"/>
    <x v="0"/>
    <n v="27"/>
    <n v="28"/>
    <n v="27"/>
    <n v="28"/>
    <n v="27"/>
    <n v="28"/>
    <n v="27"/>
    <n v="28"/>
    <n v="28"/>
    <n v="27"/>
    <n v="28"/>
    <n v="28"/>
    <n v="331"/>
    <x v="6"/>
    <d v="2026-04-13T00:00:00"/>
    <n v="1986"/>
    <n v="4"/>
    <x v="0"/>
  </r>
  <r>
    <n v="239"/>
    <n v="127039"/>
    <s v="CUSTOMER239"/>
    <x v="0"/>
    <x v="12"/>
    <x v="1"/>
    <s v="Rajasthanpatrika"/>
    <x v="0"/>
    <n v="27"/>
    <n v="28"/>
    <n v="28"/>
    <n v="28"/>
    <n v="27"/>
    <n v="28"/>
    <n v="27"/>
    <n v="28"/>
    <n v="27"/>
    <n v="28"/>
    <n v="28"/>
    <n v="27"/>
    <n v="331"/>
    <x v="8"/>
    <d v="2026-08-15T00:00:00"/>
    <n v="1986"/>
    <n v="4"/>
    <x v="1"/>
  </r>
  <r>
    <n v="240"/>
    <n v="127040"/>
    <s v="CUSTOMER240"/>
    <x v="0"/>
    <x v="22"/>
    <x v="1"/>
    <s v="TheTimesofIndia"/>
    <x v="2"/>
    <n v="28"/>
    <n v="27"/>
    <n v="27"/>
    <n v="28"/>
    <n v="27"/>
    <n v="28"/>
    <n v="27"/>
    <n v="28"/>
    <n v="28"/>
    <n v="28"/>
    <n v="28"/>
    <n v="27"/>
    <n v="331"/>
    <x v="4"/>
    <d v="2026-01-20T00:00:00"/>
    <n v="1986"/>
    <n v="5"/>
    <x v="1"/>
  </r>
  <r>
    <n v="241"/>
    <n v="127041"/>
    <s v="CUSTOMER241"/>
    <x v="0"/>
    <x v="5"/>
    <x v="0"/>
    <s v="Rajasthanpatrika"/>
    <x v="2"/>
    <n v="27"/>
    <n v="28"/>
    <n v="28"/>
    <n v="27"/>
    <n v="28"/>
    <n v="28"/>
    <n v="27"/>
    <n v="28"/>
    <n v="27"/>
    <n v="28"/>
    <n v="27"/>
    <n v="28"/>
    <n v="331"/>
    <x v="1"/>
    <d v="2026-06-24T00:00:00"/>
    <n v="1986"/>
    <n v="4"/>
    <x v="0"/>
  </r>
  <r>
    <n v="242"/>
    <n v="127042"/>
    <s v="CUSTOMER242"/>
    <x v="0"/>
    <x v="10"/>
    <x v="2"/>
    <s v="DainikBhaskar"/>
    <x v="0"/>
    <n v="28"/>
    <n v="27"/>
    <n v="27"/>
    <n v="27"/>
    <n v="28"/>
    <n v="27"/>
    <n v="28"/>
    <n v="27"/>
    <n v="27"/>
    <n v="28"/>
    <n v="28"/>
    <n v="27"/>
    <n v="329"/>
    <x v="0"/>
    <d v="2026-03-18T00:00:00"/>
    <n v="1974"/>
    <n v="4"/>
    <x v="1"/>
  </r>
  <r>
    <n v="243"/>
    <n v="127043"/>
    <s v="CUSTOMER243"/>
    <x v="0"/>
    <x v="0"/>
    <x v="0"/>
    <s v="Rajasthanpatrika"/>
    <x v="1"/>
    <n v="28"/>
    <n v="27"/>
    <n v="27"/>
    <n v="27"/>
    <n v="27"/>
    <n v="27"/>
    <n v="28"/>
    <n v="27"/>
    <n v="27"/>
    <n v="27"/>
    <n v="27"/>
    <n v="28"/>
    <n v="327"/>
    <x v="7"/>
    <d v="2026-09-02T00:00:00"/>
    <n v="1962"/>
    <n v="5"/>
    <x v="1"/>
  </r>
  <r>
    <n v="244"/>
    <n v="127044"/>
    <s v="CUSTOMER244"/>
    <x v="1"/>
    <x v="16"/>
    <x v="1"/>
    <s v="PunjabKesri"/>
    <x v="0"/>
    <n v="27"/>
    <n v="27"/>
    <n v="27"/>
    <n v="28"/>
    <n v="28"/>
    <n v="27"/>
    <n v="27"/>
    <n v="28"/>
    <n v="27"/>
    <n v="27"/>
    <n v="27"/>
    <n v="28"/>
    <n v="328"/>
    <x v="2"/>
    <d v="2026-07-06T00:00:00"/>
    <n v="1968"/>
    <n v="3"/>
    <x v="1"/>
  </r>
  <r>
    <n v="245"/>
    <n v="127045"/>
    <s v="CUSTOMER245"/>
    <x v="0"/>
    <x v="30"/>
    <x v="2"/>
    <s v="DainikBhaskar"/>
    <x v="1"/>
    <n v="28"/>
    <n v="27"/>
    <n v="28"/>
    <n v="27"/>
    <n v="27"/>
    <n v="27"/>
    <n v="27"/>
    <n v="28"/>
    <n v="28"/>
    <n v="28"/>
    <n v="27"/>
    <n v="27"/>
    <n v="329"/>
    <x v="4"/>
    <d v="2026-01-05T00:00:00"/>
    <n v="1974"/>
    <n v="3"/>
    <x v="1"/>
  </r>
  <r>
    <n v="246"/>
    <n v="127046"/>
    <s v="CUSTOMER246"/>
    <x v="0"/>
    <x v="26"/>
    <x v="2"/>
    <s v="TheTimesofIndia"/>
    <x v="1"/>
    <n v="27"/>
    <n v="28"/>
    <n v="28"/>
    <n v="27"/>
    <n v="28"/>
    <n v="27"/>
    <n v="27"/>
    <n v="27"/>
    <n v="27"/>
    <n v="28"/>
    <n v="28"/>
    <n v="28"/>
    <n v="330"/>
    <x v="1"/>
    <d v="2026-06-26T00:00:00"/>
    <n v="1980"/>
    <n v="3"/>
    <x v="0"/>
  </r>
  <r>
    <n v="247"/>
    <n v="127047"/>
    <s v="CUSTOMER247"/>
    <x v="0"/>
    <x v="9"/>
    <x v="0"/>
    <s v="Rajasthanpatrika"/>
    <x v="1"/>
    <n v="27"/>
    <n v="27"/>
    <n v="27"/>
    <n v="28"/>
    <n v="28"/>
    <n v="28"/>
    <n v="28"/>
    <n v="28"/>
    <n v="27"/>
    <n v="28"/>
    <n v="28"/>
    <n v="28"/>
    <n v="332"/>
    <x v="0"/>
    <d v="2026-03-05T00:00:00"/>
    <n v="1992"/>
    <n v="5"/>
    <x v="1"/>
  </r>
  <r>
    <n v="248"/>
    <n v="127048"/>
    <s v="CUSTOMER248"/>
    <x v="1"/>
    <x v="1"/>
    <x v="0"/>
    <s v="TheTimesofIndia"/>
    <x v="0"/>
    <n v="27"/>
    <n v="28"/>
    <n v="27"/>
    <n v="27"/>
    <n v="28"/>
    <n v="28"/>
    <n v="27"/>
    <n v="27"/>
    <n v="28"/>
    <n v="28"/>
    <n v="28"/>
    <n v="28"/>
    <n v="331"/>
    <x v="8"/>
    <d v="2026-08-04T00:00:00"/>
    <n v="1986"/>
    <n v="3"/>
    <x v="1"/>
  </r>
  <r>
    <n v="249"/>
    <n v="127049"/>
    <s v="CUSTOMER249"/>
    <x v="0"/>
    <x v="18"/>
    <x v="1"/>
    <s v="DainikJagran"/>
    <x v="2"/>
    <n v="28"/>
    <n v="27"/>
    <n v="27"/>
    <n v="28"/>
    <n v="27"/>
    <n v="27"/>
    <n v="28"/>
    <n v="28"/>
    <n v="28"/>
    <n v="27"/>
    <n v="28"/>
    <n v="28"/>
    <n v="331"/>
    <x v="1"/>
    <d v="2026-06-06T00:00:00"/>
    <n v="1986"/>
    <n v="5"/>
    <x v="0"/>
  </r>
  <r>
    <n v="250"/>
    <n v="127050"/>
    <s v="CUSTOMER250"/>
    <x v="1"/>
    <x v="19"/>
    <x v="2"/>
    <s v="TheTimesofIndia"/>
    <x v="2"/>
    <n v="28"/>
    <n v="28"/>
    <n v="28"/>
    <n v="27"/>
    <n v="27"/>
    <n v="28"/>
    <n v="28"/>
    <n v="27"/>
    <n v="28"/>
    <n v="27"/>
    <n v="28"/>
    <n v="27"/>
    <n v="331"/>
    <x v="3"/>
    <d v="2026-05-09T00:00:00"/>
    <n v="1986"/>
    <n v="4"/>
    <x v="0"/>
  </r>
  <r>
    <n v="251"/>
    <n v="127051"/>
    <s v="CUSTOMER251"/>
    <x v="1"/>
    <x v="10"/>
    <x v="2"/>
    <s v="TheTimesofIndia"/>
    <x v="1"/>
    <n v="27"/>
    <n v="27"/>
    <n v="28"/>
    <n v="27"/>
    <n v="28"/>
    <n v="28"/>
    <n v="28"/>
    <n v="27"/>
    <n v="28"/>
    <n v="27"/>
    <n v="28"/>
    <n v="28"/>
    <n v="331"/>
    <x v="6"/>
    <d v="2026-04-30T00:00:00"/>
    <n v="1986"/>
    <n v="3"/>
    <x v="0"/>
  </r>
  <r>
    <n v="252"/>
    <n v="127052"/>
    <s v="CUSTOMER252"/>
    <x v="0"/>
    <x v="13"/>
    <x v="1"/>
    <s v="TheTimesofIndia"/>
    <x v="0"/>
    <n v="27"/>
    <n v="27"/>
    <n v="27"/>
    <n v="27"/>
    <n v="28"/>
    <n v="27"/>
    <n v="27"/>
    <n v="28"/>
    <n v="27"/>
    <n v="27"/>
    <n v="27"/>
    <n v="28"/>
    <n v="327"/>
    <x v="0"/>
    <d v="2026-03-17T00:00:00"/>
    <n v="1962"/>
    <n v="4"/>
    <x v="1"/>
  </r>
  <r>
    <n v="253"/>
    <n v="127053"/>
    <s v="CUSTOMER253"/>
    <x v="0"/>
    <x v="3"/>
    <x v="0"/>
    <s v="DainikJagran"/>
    <x v="1"/>
    <n v="27"/>
    <n v="28"/>
    <n v="28"/>
    <n v="27"/>
    <n v="27"/>
    <n v="28"/>
    <n v="27"/>
    <n v="28"/>
    <n v="27"/>
    <n v="28"/>
    <n v="27"/>
    <n v="27"/>
    <n v="329"/>
    <x v="4"/>
    <d v="2026-01-26T00:00:00"/>
    <n v="1974"/>
    <n v="4"/>
    <x v="0"/>
  </r>
  <r>
    <n v="254"/>
    <n v="127054"/>
    <s v="CUSTOMER254"/>
    <x v="0"/>
    <x v="8"/>
    <x v="0"/>
    <s v="Rajasthanpatrika"/>
    <x v="0"/>
    <n v="28"/>
    <n v="27"/>
    <n v="28"/>
    <n v="27"/>
    <n v="28"/>
    <n v="28"/>
    <n v="28"/>
    <n v="27"/>
    <n v="28"/>
    <n v="27"/>
    <n v="27"/>
    <n v="27"/>
    <n v="330"/>
    <x v="0"/>
    <d v="2026-03-20T00:00:00"/>
    <n v="1980"/>
    <n v="3"/>
    <x v="0"/>
  </r>
  <r>
    <n v="255"/>
    <n v="127055"/>
    <s v="CUSTOMER255"/>
    <x v="0"/>
    <x v="23"/>
    <x v="2"/>
    <s v="DainikJagran"/>
    <x v="2"/>
    <n v="27"/>
    <n v="27"/>
    <n v="27"/>
    <n v="28"/>
    <n v="27"/>
    <n v="28"/>
    <n v="27"/>
    <n v="28"/>
    <n v="27"/>
    <n v="27"/>
    <n v="27"/>
    <n v="27"/>
    <n v="327"/>
    <x v="1"/>
    <d v="2026-06-21T00:00:00"/>
    <n v="1962"/>
    <n v="3"/>
    <x v="0"/>
  </r>
  <r>
    <n v="256"/>
    <n v="127056"/>
    <s v="CUSTOMER256"/>
    <x v="0"/>
    <x v="7"/>
    <x v="1"/>
    <s v="TheTimesofIndia"/>
    <x v="0"/>
    <n v="28"/>
    <n v="27"/>
    <n v="27"/>
    <n v="27"/>
    <n v="27"/>
    <n v="27"/>
    <n v="28"/>
    <n v="27"/>
    <n v="27"/>
    <n v="27"/>
    <n v="27"/>
    <n v="28"/>
    <n v="327"/>
    <x v="6"/>
    <d v="2026-04-24T00:00:00"/>
    <n v="1962"/>
    <n v="5"/>
    <x v="1"/>
  </r>
  <r>
    <n v="257"/>
    <n v="127057"/>
    <s v="CUSTOMER257"/>
    <x v="0"/>
    <x v="31"/>
    <x v="2"/>
    <s v="PunjabKesri"/>
    <x v="2"/>
    <n v="28"/>
    <n v="27"/>
    <n v="28"/>
    <n v="27"/>
    <n v="27"/>
    <n v="28"/>
    <n v="28"/>
    <n v="28"/>
    <n v="28"/>
    <n v="28"/>
    <n v="28"/>
    <n v="27"/>
    <n v="332"/>
    <x v="7"/>
    <d v="2026-09-30T00:00:00"/>
    <n v="1992"/>
    <n v="5"/>
    <x v="1"/>
  </r>
  <r>
    <n v="258"/>
    <n v="127058"/>
    <s v="CUSTOMER258"/>
    <x v="0"/>
    <x v="28"/>
    <x v="3"/>
    <s v="Rajasthanpatrika"/>
    <x v="0"/>
    <n v="28"/>
    <n v="28"/>
    <n v="28"/>
    <n v="28"/>
    <n v="27"/>
    <n v="28"/>
    <n v="28"/>
    <n v="28"/>
    <n v="28"/>
    <n v="27"/>
    <n v="27"/>
    <n v="27"/>
    <n v="332"/>
    <x v="4"/>
    <d v="2026-01-06T00:00:00"/>
    <n v="1992"/>
    <n v="5"/>
    <x v="0"/>
  </r>
  <r>
    <n v="259"/>
    <n v="127059"/>
    <s v="CUSTOMER259"/>
    <x v="1"/>
    <x v="7"/>
    <x v="1"/>
    <s v="DainikBhaskar"/>
    <x v="0"/>
    <n v="27"/>
    <n v="27"/>
    <n v="27"/>
    <n v="28"/>
    <n v="27"/>
    <n v="27"/>
    <n v="27"/>
    <n v="27"/>
    <n v="28"/>
    <n v="27"/>
    <n v="28"/>
    <n v="28"/>
    <n v="328"/>
    <x v="3"/>
    <d v="2026-05-01T00:00:00"/>
    <n v="1968"/>
    <n v="4"/>
    <x v="0"/>
  </r>
  <r>
    <n v="260"/>
    <n v="127060"/>
    <s v="CUSTOMER260"/>
    <x v="1"/>
    <x v="21"/>
    <x v="3"/>
    <s v="PunjabKesri"/>
    <x v="0"/>
    <n v="27"/>
    <n v="28"/>
    <n v="28"/>
    <n v="28"/>
    <n v="28"/>
    <n v="28"/>
    <n v="28"/>
    <n v="28"/>
    <n v="28"/>
    <n v="27"/>
    <n v="27"/>
    <n v="27"/>
    <n v="332"/>
    <x v="6"/>
    <d v="2026-04-13T00:00:00"/>
    <n v="1992"/>
    <n v="3"/>
    <x v="0"/>
  </r>
  <r>
    <n v="261"/>
    <n v="127061"/>
    <s v="CUSTOMER261"/>
    <x v="0"/>
    <x v="22"/>
    <x v="1"/>
    <s v="PunjabKesri"/>
    <x v="1"/>
    <n v="28"/>
    <n v="28"/>
    <n v="27"/>
    <n v="28"/>
    <n v="27"/>
    <n v="27"/>
    <n v="27"/>
    <n v="27"/>
    <n v="28"/>
    <n v="27"/>
    <n v="27"/>
    <n v="28"/>
    <n v="329"/>
    <x v="6"/>
    <d v="2026-04-20T00:00:00"/>
    <n v="1974"/>
    <n v="4"/>
    <x v="0"/>
  </r>
  <r>
    <n v="262"/>
    <n v="127062"/>
    <s v="CUSTOMER262"/>
    <x v="0"/>
    <x v="10"/>
    <x v="2"/>
    <s v="TheTimesofIndia"/>
    <x v="0"/>
    <n v="27"/>
    <n v="27"/>
    <n v="27"/>
    <n v="28"/>
    <n v="27"/>
    <n v="28"/>
    <n v="28"/>
    <n v="27"/>
    <n v="27"/>
    <n v="27"/>
    <n v="28"/>
    <n v="27"/>
    <n v="328"/>
    <x v="7"/>
    <d v="2026-09-11T00:00:00"/>
    <n v="1968"/>
    <n v="3"/>
    <x v="0"/>
  </r>
  <r>
    <n v="263"/>
    <n v="127063"/>
    <s v="CUSTOMER263"/>
    <x v="0"/>
    <x v="28"/>
    <x v="3"/>
    <s v="Rajasthanpatrika"/>
    <x v="0"/>
    <n v="28"/>
    <n v="27"/>
    <n v="27"/>
    <n v="28"/>
    <n v="28"/>
    <n v="28"/>
    <n v="27"/>
    <n v="28"/>
    <n v="27"/>
    <n v="28"/>
    <n v="27"/>
    <n v="27"/>
    <n v="330"/>
    <x v="1"/>
    <d v="2026-06-30T00:00:00"/>
    <n v="1980"/>
    <n v="4"/>
    <x v="0"/>
  </r>
  <r>
    <n v="264"/>
    <n v="127064"/>
    <s v="CUSTOMER264"/>
    <x v="0"/>
    <x v="5"/>
    <x v="0"/>
    <s v="PunjabKesri"/>
    <x v="1"/>
    <n v="27"/>
    <n v="28"/>
    <n v="28"/>
    <n v="28"/>
    <n v="28"/>
    <n v="28"/>
    <n v="28"/>
    <n v="28"/>
    <n v="28"/>
    <n v="27"/>
    <n v="27"/>
    <n v="27"/>
    <n v="332"/>
    <x v="2"/>
    <d v="2026-07-04T00:00:00"/>
    <n v="1992"/>
    <n v="4"/>
    <x v="0"/>
  </r>
  <r>
    <n v="265"/>
    <n v="127065"/>
    <s v="CUSTOMER265"/>
    <x v="0"/>
    <x v="12"/>
    <x v="1"/>
    <s v="PunjabKesri"/>
    <x v="2"/>
    <n v="27"/>
    <n v="28"/>
    <n v="27"/>
    <n v="27"/>
    <n v="27"/>
    <n v="27"/>
    <n v="27"/>
    <n v="27"/>
    <n v="27"/>
    <n v="28"/>
    <n v="28"/>
    <n v="27"/>
    <n v="327"/>
    <x v="7"/>
    <d v="2026-09-29T00:00:00"/>
    <n v="1962"/>
    <n v="5"/>
    <x v="0"/>
  </r>
  <r>
    <n v="266"/>
    <n v="127066"/>
    <s v="CUSTOMER266"/>
    <x v="1"/>
    <x v="17"/>
    <x v="1"/>
    <s v="Rajasthanpatrika"/>
    <x v="0"/>
    <n v="27"/>
    <n v="28"/>
    <n v="27"/>
    <n v="27"/>
    <n v="28"/>
    <n v="28"/>
    <n v="27"/>
    <n v="28"/>
    <n v="27"/>
    <n v="28"/>
    <n v="28"/>
    <n v="28"/>
    <n v="331"/>
    <x v="1"/>
    <d v="2026-06-18T00:00:00"/>
    <n v="1986"/>
    <n v="5"/>
    <x v="1"/>
  </r>
  <r>
    <n v="267"/>
    <n v="127067"/>
    <s v="CUSTOMER267"/>
    <x v="0"/>
    <x v="17"/>
    <x v="1"/>
    <s v="TheTimesofIndia"/>
    <x v="0"/>
    <n v="28"/>
    <n v="28"/>
    <n v="27"/>
    <n v="27"/>
    <n v="28"/>
    <n v="27"/>
    <n v="27"/>
    <n v="27"/>
    <n v="28"/>
    <n v="27"/>
    <n v="28"/>
    <n v="27"/>
    <n v="329"/>
    <x v="6"/>
    <d v="2026-04-06T00:00:00"/>
    <n v="1974"/>
    <n v="5"/>
    <x v="1"/>
  </r>
  <r>
    <n v="268"/>
    <n v="127068"/>
    <s v="CUSTOMER268"/>
    <x v="0"/>
    <x v="23"/>
    <x v="2"/>
    <s v="TheTimesofIndia"/>
    <x v="0"/>
    <n v="27"/>
    <n v="27"/>
    <n v="27"/>
    <n v="28"/>
    <n v="27"/>
    <n v="28"/>
    <n v="27"/>
    <n v="28"/>
    <n v="27"/>
    <n v="28"/>
    <n v="27"/>
    <n v="28"/>
    <n v="329"/>
    <x v="0"/>
    <d v="2026-03-25T00:00:00"/>
    <n v="1974"/>
    <n v="3"/>
    <x v="0"/>
  </r>
  <r>
    <n v="269"/>
    <n v="127069"/>
    <s v="CUSTOMER269"/>
    <x v="0"/>
    <x v="31"/>
    <x v="2"/>
    <s v="DainikJagran"/>
    <x v="0"/>
    <n v="28"/>
    <n v="27"/>
    <n v="27"/>
    <n v="28"/>
    <n v="28"/>
    <n v="28"/>
    <n v="27"/>
    <n v="27"/>
    <n v="28"/>
    <n v="28"/>
    <n v="28"/>
    <n v="27"/>
    <n v="331"/>
    <x v="4"/>
    <d v="2026-01-20T00:00:00"/>
    <n v="1986"/>
    <n v="5"/>
    <x v="1"/>
  </r>
  <r>
    <n v="270"/>
    <n v="127070"/>
    <s v="CUSTOMER270"/>
    <x v="1"/>
    <x v="5"/>
    <x v="0"/>
    <s v="PunjabKesri"/>
    <x v="1"/>
    <n v="27"/>
    <n v="28"/>
    <n v="28"/>
    <n v="28"/>
    <n v="27"/>
    <n v="27"/>
    <n v="27"/>
    <n v="28"/>
    <n v="27"/>
    <n v="28"/>
    <n v="28"/>
    <n v="28"/>
    <n v="331"/>
    <x v="0"/>
    <d v="2026-03-02T00:00:00"/>
    <n v="1986"/>
    <n v="3"/>
    <x v="1"/>
  </r>
  <r>
    <n v="271"/>
    <n v="127071"/>
    <s v="CUSTOMER271"/>
    <x v="0"/>
    <x v="21"/>
    <x v="3"/>
    <s v="TheTimesofIndia"/>
    <x v="1"/>
    <n v="27"/>
    <n v="28"/>
    <n v="28"/>
    <n v="27"/>
    <n v="28"/>
    <n v="27"/>
    <n v="27"/>
    <n v="28"/>
    <n v="27"/>
    <n v="28"/>
    <n v="27"/>
    <n v="27"/>
    <n v="329"/>
    <x v="6"/>
    <d v="2026-04-28T00:00:00"/>
    <n v="1974"/>
    <n v="3"/>
    <x v="1"/>
  </r>
  <r>
    <n v="272"/>
    <n v="127072"/>
    <s v="CUSTOMER272"/>
    <x v="1"/>
    <x v="32"/>
    <x v="1"/>
    <s v="DainikJagran"/>
    <x v="1"/>
    <n v="27"/>
    <n v="28"/>
    <n v="28"/>
    <n v="27"/>
    <n v="28"/>
    <n v="27"/>
    <n v="27"/>
    <n v="28"/>
    <n v="28"/>
    <n v="28"/>
    <n v="28"/>
    <n v="27"/>
    <n v="331"/>
    <x v="2"/>
    <d v="2026-07-24T00:00:00"/>
    <n v="1986"/>
    <n v="4"/>
    <x v="1"/>
  </r>
  <r>
    <n v="273"/>
    <n v="127073"/>
    <s v="CUSTOMER273"/>
    <x v="1"/>
    <x v="9"/>
    <x v="0"/>
    <s v="TheTimesofIndia"/>
    <x v="0"/>
    <n v="28"/>
    <n v="28"/>
    <n v="28"/>
    <n v="28"/>
    <n v="27"/>
    <n v="27"/>
    <n v="28"/>
    <n v="28"/>
    <n v="27"/>
    <n v="27"/>
    <n v="27"/>
    <n v="28"/>
    <n v="331"/>
    <x v="5"/>
    <d v="2026-02-21T00:00:00"/>
    <n v="1986"/>
    <n v="5"/>
    <x v="0"/>
  </r>
  <r>
    <n v="274"/>
    <n v="127074"/>
    <s v="CUSTOMER274"/>
    <x v="0"/>
    <x v="31"/>
    <x v="2"/>
    <s v="PunjabKesri"/>
    <x v="1"/>
    <n v="28"/>
    <n v="28"/>
    <n v="27"/>
    <n v="27"/>
    <n v="28"/>
    <n v="28"/>
    <n v="28"/>
    <n v="27"/>
    <n v="27"/>
    <n v="27"/>
    <n v="28"/>
    <n v="27"/>
    <n v="330"/>
    <x v="2"/>
    <d v="2026-07-29T00:00:00"/>
    <n v="1980"/>
    <n v="5"/>
    <x v="1"/>
  </r>
  <r>
    <n v="275"/>
    <n v="127075"/>
    <s v="CUSTOMER275"/>
    <x v="0"/>
    <x v="17"/>
    <x v="1"/>
    <s v="PunjabKesri"/>
    <x v="1"/>
    <n v="28"/>
    <n v="27"/>
    <n v="28"/>
    <n v="27"/>
    <n v="27"/>
    <n v="28"/>
    <n v="28"/>
    <n v="28"/>
    <n v="28"/>
    <n v="28"/>
    <n v="27"/>
    <n v="27"/>
    <n v="331"/>
    <x v="1"/>
    <d v="2026-06-10T00:00:00"/>
    <n v="1986"/>
    <n v="3"/>
    <x v="1"/>
  </r>
  <r>
    <n v="276"/>
    <n v="127076"/>
    <s v="CUSTOMER276"/>
    <x v="0"/>
    <x v="20"/>
    <x v="3"/>
    <s v="Rajasthanpatrika"/>
    <x v="0"/>
    <n v="28"/>
    <n v="28"/>
    <n v="27"/>
    <n v="28"/>
    <n v="28"/>
    <n v="27"/>
    <n v="28"/>
    <n v="27"/>
    <n v="27"/>
    <n v="28"/>
    <n v="27"/>
    <n v="28"/>
    <n v="331"/>
    <x v="7"/>
    <d v="2026-09-28T00:00:00"/>
    <n v="1986"/>
    <n v="4"/>
    <x v="1"/>
  </r>
  <r>
    <n v="277"/>
    <n v="127077"/>
    <s v="CUSTOMER277"/>
    <x v="0"/>
    <x v="9"/>
    <x v="0"/>
    <s v="DainikBhaskar"/>
    <x v="1"/>
    <n v="28"/>
    <n v="27"/>
    <n v="28"/>
    <n v="28"/>
    <n v="27"/>
    <n v="27"/>
    <n v="27"/>
    <n v="27"/>
    <n v="28"/>
    <n v="28"/>
    <n v="28"/>
    <n v="28"/>
    <n v="331"/>
    <x v="0"/>
    <d v="2026-03-25T00:00:00"/>
    <n v="1986"/>
    <n v="4"/>
    <x v="0"/>
  </r>
  <r>
    <n v="278"/>
    <n v="127078"/>
    <s v="CUSTOMER278"/>
    <x v="0"/>
    <x v="8"/>
    <x v="0"/>
    <s v="PunjabKesri"/>
    <x v="1"/>
    <n v="27"/>
    <n v="28"/>
    <n v="28"/>
    <n v="27"/>
    <n v="27"/>
    <n v="28"/>
    <n v="28"/>
    <n v="27"/>
    <n v="27"/>
    <n v="27"/>
    <n v="27"/>
    <n v="28"/>
    <n v="329"/>
    <x v="6"/>
    <d v="2026-04-15T00:00:00"/>
    <n v="1974"/>
    <n v="3"/>
    <x v="0"/>
  </r>
  <r>
    <n v="279"/>
    <n v="127079"/>
    <s v="CUSTOMER279"/>
    <x v="0"/>
    <x v="13"/>
    <x v="1"/>
    <s v="PunjabKesri"/>
    <x v="0"/>
    <n v="27"/>
    <n v="27"/>
    <n v="27"/>
    <n v="27"/>
    <n v="27"/>
    <n v="28"/>
    <n v="28"/>
    <n v="27"/>
    <n v="27"/>
    <n v="28"/>
    <n v="27"/>
    <n v="28"/>
    <n v="328"/>
    <x v="6"/>
    <d v="2026-04-07T00:00:00"/>
    <n v="1968"/>
    <n v="3"/>
    <x v="0"/>
  </r>
  <r>
    <n v="280"/>
    <n v="127080"/>
    <s v="CUSTOMER280"/>
    <x v="0"/>
    <x v="21"/>
    <x v="3"/>
    <s v="DainikJagran"/>
    <x v="1"/>
    <n v="28"/>
    <n v="27"/>
    <n v="28"/>
    <n v="28"/>
    <n v="27"/>
    <n v="27"/>
    <n v="28"/>
    <n v="28"/>
    <n v="27"/>
    <n v="27"/>
    <n v="27"/>
    <n v="27"/>
    <n v="329"/>
    <x v="3"/>
    <d v="2026-05-16T00:00:00"/>
    <n v="1974"/>
    <n v="5"/>
    <x v="0"/>
  </r>
  <r>
    <n v="281"/>
    <n v="127081"/>
    <s v="CUSTOMER281"/>
    <x v="1"/>
    <x v="4"/>
    <x v="0"/>
    <s v="DainikBhaskar"/>
    <x v="2"/>
    <n v="28"/>
    <n v="27"/>
    <n v="28"/>
    <n v="27"/>
    <n v="27"/>
    <n v="27"/>
    <n v="27"/>
    <n v="28"/>
    <n v="27"/>
    <n v="28"/>
    <n v="28"/>
    <n v="27"/>
    <n v="329"/>
    <x v="6"/>
    <d v="2026-04-17T00:00:00"/>
    <n v="1974"/>
    <n v="5"/>
    <x v="0"/>
  </r>
  <r>
    <n v="282"/>
    <n v="127082"/>
    <s v="CUSTOMER282"/>
    <x v="1"/>
    <x v="24"/>
    <x v="2"/>
    <s v="Rajasthanpatrika"/>
    <x v="1"/>
    <n v="28"/>
    <n v="28"/>
    <n v="28"/>
    <n v="27"/>
    <n v="27"/>
    <n v="27"/>
    <n v="27"/>
    <n v="28"/>
    <n v="28"/>
    <n v="28"/>
    <n v="27"/>
    <n v="27"/>
    <n v="330"/>
    <x v="5"/>
    <d v="2026-02-04T00:00:00"/>
    <n v="1980"/>
    <n v="3"/>
    <x v="1"/>
  </r>
  <r>
    <n v="283"/>
    <n v="127083"/>
    <s v="CUSTOMER283"/>
    <x v="0"/>
    <x v="19"/>
    <x v="2"/>
    <s v="Rajasthanpatrika"/>
    <x v="1"/>
    <n v="28"/>
    <n v="28"/>
    <n v="27"/>
    <n v="28"/>
    <n v="27"/>
    <n v="27"/>
    <n v="28"/>
    <n v="28"/>
    <n v="28"/>
    <n v="27"/>
    <n v="27"/>
    <n v="27"/>
    <n v="330"/>
    <x v="2"/>
    <d v="2026-07-22T00:00:00"/>
    <n v="1980"/>
    <n v="4"/>
    <x v="0"/>
  </r>
  <r>
    <n v="284"/>
    <n v="127084"/>
    <s v="CUSTOMER284"/>
    <x v="0"/>
    <x v="32"/>
    <x v="1"/>
    <s v="PunjabKesri"/>
    <x v="0"/>
    <n v="27"/>
    <n v="27"/>
    <n v="28"/>
    <n v="28"/>
    <n v="27"/>
    <n v="28"/>
    <n v="27"/>
    <n v="27"/>
    <n v="27"/>
    <n v="28"/>
    <n v="27"/>
    <n v="27"/>
    <n v="328"/>
    <x v="4"/>
    <d v="2026-01-12T00:00:00"/>
    <n v="1968"/>
    <n v="5"/>
    <x v="0"/>
  </r>
  <r>
    <n v="285"/>
    <n v="127085"/>
    <s v="CUSTOMER285"/>
    <x v="0"/>
    <x v="27"/>
    <x v="2"/>
    <s v="PunjabKesri"/>
    <x v="1"/>
    <n v="28"/>
    <n v="28"/>
    <n v="28"/>
    <n v="27"/>
    <n v="27"/>
    <n v="28"/>
    <n v="27"/>
    <n v="27"/>
    <n v="27"/>
    <n v="27"/>
    <n v="28"/>
    <n v="27"/>
    <n v="329"/>
    <x v="8"/>
    <d v="2026-08-14T00:00:00"/>
    <n v="1974"/>
    <n v="5"/>
    <x v="1"/>
  </r>
  <r>
    <n v="286"/>
    <n v="127086"/>
    <s v="CUSTOMER286"/>
    <x v="0"/>
    <x v="8"/>
    <x v="0"/>
    <s v="PunjabKesri"/>
    <x v="2"/>
    <n v="28"/>
    <n v="27"/>
    <n v="27"/>
    <n v="28"/>
    <n v="28"/>
    <n v="27"/>
    <n v="27"/>
    <n v="28"/>
    <n v="28"/>
    <n v="27"/>
    <n v="27"/>
    <n v="27"/>
    <n v="329"/>
    <x v="2"/>
    <d v="2026-07-15T00:00:00"/>
    <n v="1974"/>
    <n v="3"/>
    <x v="0"/>
  </r>
  <r>
    <n v="287"/>
    <n v="127087"/>
    <s v="CUSTOMER287"/>
    <x v="0"/>
    <x v="6"/>
    <x v="0"/>
    <s v="PunjabKesri"/>
    <x v="2"/>
    <n v="27"/>
    <n v="27"/>
    <n v="27"/>
    <n v="27"/>
    <n v="27"/>
    <n v="28"/>
    <n v="27"/>
    <n v="28"/>
    <n v="28"/>
    <n v="28"/>
    <n v="27"/>
    <n v="28"/>
    <n v="329"/>
    <x v="2"/>
    <d v="2026-07-26T00:00:00"/>
    <n v="1974"/>
    <n v="4"/>
    <x v="1"/>
  </r>
  <r>
    <n v="288"/>
    <n v="127088"/>
    <s v="CUSTOMER288"/>
    <x v="1"/>
    <x v="31"/>
    <x v="2"/>
    <s v="Rajasthanpatrika"/>
    <x v="2"/>
    <n v="28"/>
    <n v="28"/>
    <n v="27"/>
    <n v="28"/>
    <n v="27"/>
    <n v="27"/>
    <n v="28"/>
    <n v="28"/>
    <n v="27"/>
    <n v="28"/>
    <n v="28"/>
    <n v="27"/>
    <n v="331"/>
    <x v="0"/>
    <d v="2026-03-08T00:00:00"/>
    <n v="1986"/>
    <n v="4"/>
    <x v="1"/>
  </r>
  <r>
    <n v="289"/>
    <n v="127089"/>
    <s v="CUSTOMER289"/>
    <x v="0"/>
    <x v="9"/>
    <x v="0"/>
    <s v="Rajasthanpatrika"/>
    <x v="1"/>
    <n v="28"/>
    <n v="27"/>
    <n v="27"/>
    <n v="27"/>
    <n v="27"/>
    <n v="27"/>
    <n v="28"/>
    <n v="28"/>
    <n v="28"/>
    <n v="27"/>
    <n v="27"/>
    <n v="28"/>
    <n v="329"/>
    <x v="6"/>
    <d v="2026-04-29T00:00:00"/>
    <n v="1974"/>
    <n v="3"/>
    <x v="1"/>
  </r>
  <r>
    <n v="290"/>
    <n v="127090"/>
    <s v="CUSTOMER290"/>
    <x v="0"/>
    <x v="27"/>
    <x v="2"/>
    <s v="PunjabKesri"/>
    <x v="2"/>
    <n v="27"/>
    <n v="27"/>
    <n v="27"/>
    <n v="27"/>
    <n v="28"/>
    <n v="27"/>
    <n v="28"/>
    <n v="28"/>
    <n v="27"/>
    <n v="27"/>
    <n v="28"/>
    <n v="27"/>
    <n v="328"/>
    <x v="7"/>
    <d v="2026-09-08T00:00:00"/>
    <n v="1968"/>
    <n v="4"/>
    <x v="0"/>
  </r>
  <r>
    <n v="291"/>
    <n v="127091"/>
    <s v="CUSTOMER291"/>
    <x v="0"/>
    <x v="2"/>
    <x v="1"/>
    <s v="TheTimesofIndia"/>
    <x v="0"/>
    <n v="28"/>
    <n v="28"/>
    <n v="27"/>
    <n v="27"/>
    <n v="27"/>
    <n v="28"/>
    <n v="28"/>
    <n v="27"/>
    <n v="27"/>
    <n v="28"/>
    <n v="27"/>
    <n v="27"/>
    <n v="329"/>
    <x v="8"/>
    <d v="2026-08-21T00:00:00"/>
    <n v="1974"/>
    <n v="3"/>
    <x v="0"/>
  </r>
  <r>
    <n v="292"/>
    <n v="127092"/>
    <s v="CUSTOMER292"/>
    <x v="1"/>
    <x v="4"/>
    <x v="0"/>
    <s v="DainikBhaskar"/>
    <x v="2"/>
    <n v="27"/>
    <n v="27"/>
    <n v="27"/>
    <n v="27"/>
    <n v="28"/>
    <n v="27"/>
    <n v="28"/>
    <n v="27"/>
    <n v="28"/>
    <n v="27"/>
    <n v="28"/>
    <n v="28"/>
    <n v="329"/>
    <x v="2"/>
    <d v="2026-07-27T00:00:00"/>
    <n v="1974"/>
    <n v="5"/>
    <x v="1"/>
  </r>
  <r>
    <n v="293"/>
    <n v="127093"/>
    <s v="CUSTOMER293"/>
    <x v="0"/>
    <x v="11"/>
    <x v="2"/>
    <s v="TheTimesofIndia"/>
    <x v="2"/>
    <n v="27"/>
    <n v="28"/>
    <n v="28"/>
    <n v="27"/>
    <n v="27"/>
    <n v="28"/>
    <n v="28"/>
    <n v="28"/>
    <n v="28"/>
    <n v="27"/>
    <n v="28"/>
    <n v="28"/>
    <n v="332"/>
    <x v="1"/>
    <d v="2026-06-01T00:00:00"/>
    <n v="1992"/>
    <n v="5"/>
    <x v="1"/>
  </r>
  <r>
    <n v="294"/>
    <n v="127094"/>
    <s v="CUSTOMER294"/>
    <x v="1"/>
    <x v="18"/>
    <x v="1"/>
    <s v="Rajasthanpatrika"/>
    <x v="0"/>
    <n v="28"/>
    <n v="28"/>
    <n v="28"/>
    <n v="27"/>
    <n v="28"/>
    <n v="27"/>
    <n v="28"/>
    <n v="28"/>
    <n v="27"/>
    <n v="27"/>
    <n v="27"/>
    <n v="28"/>
    <n v="331"/>
    <x v="2"/>
    <d v="2026-07-30T00:00:00"/>
    <n v="1986"/>
    <n v="5"/>
    <x v="1"/>
  </r>
  <r>
    <n v="295"/>
    <n v="127095"/>
    <s v="CUSTOMER295"/>
    <x v="1"/>
    <x v="3"/>
    <x v="0"/>
    <s v="PunjabKesri"/>
    <x v="0"/>
    <n v="28"/>
    <n v="27"/>
    <n v="28"/>
    <n v="27"/>
    <n v="28"/>
    <n v="28"/>
    <n v="27"/>
    <n v="27"/>
    <n v="28"/>
    <n v="27"/>
    <n v="28"/>
    <n v="27"/>
    <n v="330"/>
    <x v="5"/>
    <d v="2026-02-26T00:00:00"/>
    <n v="1980"/>
    <n v="5"/>
    <x v="1"/>
  </r>
  <r>
    <n v="296"/>
    <n v="127096"/>
    <s v="CUSTOMER296"/>
    <x v="0"/>
    <x v="0"/>
    <x v="0"/>
    <s v="PunjabKesri"/>
    <x v="1"/>
    <n v="27"/>
    <n v="27"/>
    <n v="27"/>
    <n v="27"/>
    <n v="27"/>
    <n v="27"/>
    <n v="27"/>
    <n v="28"/>
    <n v="27"/>
    <n v="27"/>
    <n v="27"/>
    <n v="28"/>
    <n v="326"/>
    <x v="7"/>
    <d v="2026-09-15T00:00:00"/>
    <n v="1956"/>
    <n v="4"/>
    <x v="0"/>
  </r>
  <r>
    <n v="297"/>
    <n v="127097"/>
    <s v="CUSTOMER297"/>
    <x v="0"/>
    <x v="0"/>
    <x v="0"/>
    <s v="TheTimesofIndia"/>
    <x v="2"/>
    <n v="27"/>
    <n v="28"/>
    <n v="27"/>
    <n v="27"/>
    <n v="27"/>
    <n v="28"/>
    <n v="27"/>
    <n v="27"/>
    <n v="28"/>
    <n v="28"/>
    <n v="28"/>
    <n v="27"/>
    <n v="329"/>
    <x v="6"/>
    <d v="2026-04-10T00:00:00"/>
    <n v="1974"/>
    <n v="5"/>
    <x v="1"/>
  </r>
  <r>
    <n v="298"/>
    <n v="127098"/>
    <s v="CUSTOMER298"/>
    <x v="0"/>
    <x v="25"/>
    <x v="3"/>
    <s v="TheTimesofIndia"/>
    <x v="2"/>
    <n v="27"/>
    <n v="27"/>
    <n v="27"/>
    <n v="28"/>
    <n v="28"/>
    <n v="27"/>
    <n v="27"/>
    <n v="27"/>
    <n v="27"/>
    <n v="27"/>
    <n v="28"/>
    <n v="28"/>
    <n v="328"/>
    <x v="6"/>
    <d v="2026-04-11T00:00:00"/>
    <n v="1968"/>
    <n v="4"/>
    <x v="0"/>
  </r>
  <r>
    <n v="299"/>
    <n v="127099"/>
    <s v="CUSTOMER299"/>
    <x v="0"/>
    <x v="31"/>
    <x v="2"/>
    <s v="Rajasthanpatrika"/>
    <x v="0"/>
    <n v="27"/>
    <n v="28"/>
    <n v="27"/>
    <n v="27"/>
    <n v="27"/>
    <n v="28"/>
    <n v="28"/>
    <n v="27"/>
    <n v="28"/>
    <n v="27"/>
    <n v="28"/>
    <n v="28"/>
    <n v="330"/>
    <x v="8"/>
    <d v="2026-08-22T00:00:00"/>
    <n v="1980"/>
    <n v="4"/>
    <x v="0"/>
  </r>
  <r>
    <n v="300"/>
    <n v="127100"/>
    <s v="CUSTOMER300"/>
    <x v="0"/>
    <x v="3"/>
    <x v="0"/>
    <s v="Rajasthanpatrika"/>
    <x v="1"/>
    <n v="28"/>
    <n v="27"/>
    <n v="28"/>
    <n v="27"/>
    <n v="28"/>
    <n v="28"/>
    <n v="28"/>
    <n v="27"/>
    <n v="27"/>
    <n v="27"/>
    <n v="28"/>
    <n v="28"/>
    <n v="331"/>
    <x v="1"/>
    <d v="2026-06-13T00:00:00"/>
    <n v="1986"/>
    <n v="3"/>
    <x v="1"/>
  </r>
  <r>
    <n v="301"/>
    <n v="127101"/>
    <s v="CUSTOMER301"/>
    <x v="0"/>
    <x v="6"/>
    <x v="0"/>
    <s v="Rajasthanpatrika"/>
    <x v="2"/>
    <n v="27"/>
    <n v="27"/>
    <n v="27"/>
    <n v="27"/>
    <n v="27"/>
    <n v="27"/>
    <n v="28"/>
    <n v="28"/>
    <n v="27"/>
    <n v="27"/>
    <n v="28"/>
    <n v="27"/>
    <n v="327"/>
    <x v="6"/>
    <d v="2026-04-19T00:00:00"/>
    <n v="1962"/>
    <n v="5"/>
    <x v="1"/>
  </r>
  <r>
    <n v="302"/>
    <n v="127102"/>
    <s v="CUSTOMER302"/>
    <x v="0"/>
    <x v="12"/>
    <x v="1"/>
    <s v="DainikBhaskar"/>
    <x v="2"/>
    <n v="28"/>
    <n v="28"/>
    <n v="28"/>
    <n v="28"/>
    <n v="27"/>
    <n v="28"/>
    <n v="28"/>
    <n v="28"/>
    <n v="27"/>
    <n v="27"/>
    <n v="28"/>
    <n v="27"/>
    <n v="332"/>
    <x v="5"/>
    <d v="2026-02-10T00:00:00"/>
    <n v="1992"/>
    <n v="4"/>
    <x v="0"/>
  </r>
  <r>
    <n v="303"/>
    <n v="127103"/>
    <s v="CUSTOMER303"/>
    <x v="0"/>
    <x v="24"/>
    <x v="2"/>
    <s v="DainikJagran"/>
    <x v="2"/>
    <n v="28"/>
    <n v="28"/>
    <n v="28"/>
    <n v="27"/>
    <n v="27"/>
    <n v="28"/>
    <n v="28"/>
    <n v="28"/>
    <n v="28"/>
    <n v="27"/>
    <n v="27"/>
    <n v="28"/>
    <n v="332"/>
    <x v="6"/>
    <d v="2026-04-10T00:00:00"/>
    <n v="1992"/>
    <n v="5"/>
    <x v="0"/>
  </r>
  <r>
    <n v="304"/>
    <n v="127104"/>
    <s v="CUSTOMER304"/>
    <x v="1"/>
    <x v="17"/>
    <x v="1"/>
    <s v="PunjabKesri"/>
    <x v="2"/>
    <n v="28"/>
    <n v="27"/>
    <n v="28"/>
    <n v="27"/>
    <n v="27"/>
    <n v="27"/>
    <n v="28"/>
    <n v="28"/>
    <n v="28"/>
    <n v="27"/>
    <n v="27"/>
    <n v="27"/>
    <n v="329"/>
    <x v="8"/>
    <d v="2026-08-07T00:00:00"/>
    <n v="1974"/>
    <n v="4"/>
    <x v="0"/>
  </r>
  <r>
    <n v="305"/>
    <n v="127105"/>
    <s v="CUSTOMER305"/>
    <x v="0"/>
    <x v="22"/>
    <x v="1"/>
    <s v="DainikJagran"/>
    <x v="2"/>
    <n v="28"/>
    <n v="28"/>
    <n v="28"/>
    <n v="27"/>
    <n v="27"/>
    <n v="28"/>
    <n v="28"/>
    <n v="27"/>
    <n v="27"/>
    <n v="28"/>
    <n v="28"/>
    <n v="27"/>
    <n v="331"/>
    <x v="1"/>
    <d v="2026-06-16T00:00:00"/>
    <n v="1986"/>
    <n v="4"/>
    <x v="0"/>
  </r>
  <r>
    <n v="306"/>
    <n v="127106"/>
    <s v="CUSTOMER306"/>
    <x v="1"/>
    <x v="22"/>
    <x v="1"/>
    <s v="PunjabKesri"/>
    <x v="1"/>
    <n v="28"/>
    <n v="27"/>
    <n v="27"/>
    <n v="27"/>
    <n v="28"/>
    <n v="28"/>
    <n v="27"/>
    <n v="27"/>
    <n v="27"/>
    <n v="28"/>
    <n v="28"/>
    <n v="27"/>
    <n v="329"/>
    <x v="7"/>
    <d v="2026-09-05T00:00:00"/>
    <n v="1974"/>
    <n v="4"/>
    <x v="0"/>
  </r>
  <r>
    <n v="307"/>
    <n v="127107"/>
    <s v="CUSTOMER307"/>
    <x v="1"/>
    <x v="3"/>
    <x v="0"/>
    <s v="TheTimesofIndia"/>
    <x v="0"/>
    <n v="27"/>
    <n v="27"/>
    <n v="27"/>
    <n v="27"/>
    <n v="28"/>
    <n v="28"/>
    <n v="27"/>
    <n v="28"/>
    <n v="27"/>
    <n v="27"/>
    <n v="27"/>
    <n v="28"/>
    <n v="328"/>
    <x v="1"/>
    <d v="2026-06-16T00:00:00"/>
    <n v="1968"/>
    <n v="3"/>
    <x v="0"/>
  </r>
  <r>
    <n v="308"/>
    <n v="127108"/>
    <s v="CUSTOMER308"/>
    <x v="0"/>
    <x v="5"/>
    <x v="0"/>
    <s v="PunjabKesri"/>
    <x v="2"/>
    <n v="27"/>
    <n v="28"/>
    <n v="28"/>
    <n v="28"/>
    <n v="27"/>
    <n v="28"/>
    <n v="28"/>
    <n v="27"/>
    <n v="27"/>
    <n v="28"/>
    <n v="28"/>
    <n v="27"/>
    <n v="331"/>
    <x v="0"/>
    <d v="2026-03-09T00:00:00"/>
    <n v="1986"/>
    <n v="3"/>
    <x v="0"/>
  </r>
  <r>
    <n v="309"/>
    <n v="127109"/>
    <s v="CUSTOMER309"/>
    <x v="0"/>
    <x v="1"/>
    <x v="0"/>
    <s v="DainikJagran"/>
    <x v="0"/>
    <n v="28"/>
    <n v="27"/>
    <n v="28"/>
    <n v="27"/>
    <n v="28"/>
    <n v="27"/>
    <n v="27"/>
    <n v="27"/>
    <n v="27"/>
    <n v="27"/>
    <n v="27"/>
    <n v="27"/>
    <n v="327"/>
    <x v="6"/>
    <d v="2026-04-06T00:00:00"/>
    <n v="1962"/>
    <n v="3"/>
    <x v="1"/>
  </r>
  <r>
    <n v="310"/>
    <n v="127110"/>
    <s v="CUSTOMER310"/>
    <x v="0"/>
    <x v="32"/>
    <x v="1"/>
    <s v="PunjabKesri"/>
    <x v="0"/>
    <n v="27"/>
    <n v="27"/>
    <n v="27"/>
    <n v="28"/>
    <n v="28"/>
    <n v="28"/>
    <n v="28"/>
    <n v="28"/>
    <n v="28"/>
    <n v="28"/>
    <n v="27"/>
    <n v="27"/>
    <n v="331"/>
    <x v="7"/>
    <d v="2026-09-13T00:00:00"/>
    <n v="1986"/>
    <n v="3"/>
    <x v="1"/>
  </r>
  <r>
    <n v="311"/>
    <n v="127111"/>
    <s v="CUSTOMER311"/>
    <x v="0"/>
    <x v="29"/>
    <x v="3"/>
    <s v="PunjabKesri"/>
    <x v="2"/>
    <n v="28"/>
    <n v="27"/>
    <n v="27"/>
    <n v="28"/>
    <n v="28"/>
    <n v="27"/>
    <n v="28"/>
    <n v="28"/>
    <n v="28"/>
    <n v="28"/>
    <n v="27"/>
    <n v="28"/>
    <n v="332"/>
    <x v="7"/>
    <d v="2026-09-10T00:00:00"/>
    <n v="1992"/>
    <n v="4"/>
    <x v="0"/>
  </r>
  <r>
    <n v="312"/>
    <n v="127112"/>
    <s v="CUSTOMER312"/>
    <x v="0"/>
    <x v="0"/>
    <x v="0"/>
    <s v="DainikBhaskar"/>
    <x v="0"/>
    <n v="28"/>
    <n v="27"/>
    <n v="27"/>
    <n v="28"/>
    <n v="28"/>
    <n v="28"/>
    <n v="28"/>
    <n v="28"/>
    <n v="28"/>
    <n v="28"/>
    <n v="27"/>
    <n v="28"/>
    <n v="333"/>
    <x v="1"/>
    <d v="2026-06-26T00:00:00"/>
    <n v="1998"/>
    <n v="3"/>
    <x v="1"/>
  </r>
  <r>
    <n v="313"/>
    <n v="127113"/>
    <s v="CUSTOMER313"/>
    <x v="0"/>
    <x v="17"/>
    <x v="1"/>
    <s v="DainikBhaskar"/>
    <x v="1"/>
    <n v="27"/>
    <n v="27"/>
    <n v="27"/>
    <n v="28"/>
    <n v="27"/>
    <n v="27"/>
    <n v="27"/>
    <n v="28"/>
    <n v="28"/>
    <n v="27"/>
    <n v="27"/>
    <n v="28"/>
    <n v="328"/>
    <x v="6"/>
    <d v="2026-04-04T00:00:00"/>
    <n v="1968"/>
    <n v="3"/>
    <x v="0"/>
  </r>
  <r>
    <n v="314"/>
    <n v="127114"/>
    <s v="CUSTOMER314"/>
    <x v="0"/>
    <x v="31"/>
    <x v="2"/>
    <s v="PunjabKesri"/>
    <x v="0"/>
    <n v="28"/>
    <n v="28"/>
    <n v="27"/>
    <n v="28"/>
    <n v="28"/>
    <n v="27"/>
    <n v="28"/>
    <n v="27"/>
    <n v="27"/>
    <n v="27"/>
    <n v="27"/>
    <n v="28"/>
    <n v="330"/>
    <x v="6"/>
    <d v="2026-04-06T00:00:00"/>
    <n v="1980"/>
    <n v="5"/>
    <x v="0"/>
  </r>
  <r>
    <n v="315"/>
    <n v="127115"/>
    <s v="CUSTOMER315"/>
    <x v="1"/>
    <x v="23"/>
    <x v="2"/>
    <s v="PunjabKesri"/>
    <x v="0"/>
    <n v="27"/>
    <n v="27"/>
    <n v="28"/>
    <n v="28"/>
    <n v="28"/>
    <n v="27"/>
    <n v="27"/>
    <n v="28"/>
    <n v="28"/>
    <n v="28"/>
    <n v="27"/>
    <n v="28"/>
    <n v="331"/>
    <x v="7"/>
    <d v="2026-09-29T00:00:00"/>
    <n v="1986"/>
    <n v="5"/>
    <x v="0"/>
  </r>
  <r>
    <n v="316"/>
    <n v="127116"/>
    <s v="CUSTOMER316"/>
    <x v="1"/>
    <x v="19"/>
    <x v="2"/>
    <s v="Rajasthanpatrika"/>
    <x v="1"/>
    <n v="27"/>
    <n v="27"/>
    <n v="27"/>
    <n v="27"/>
    <n v="28"/>
    <n v="27"/>
    <n v="27"/>
    <n v="27"/>
    <n v="28"/>
    <n v="27"/>
    <n v="27"/>
    <n v="27"/>
    <n v="326"/>
    <x v="2"/>
    <d v="2026-07-26T00:00:00"/>
    <n v="1956"/>
    <n v="3"/>
    <x v="1"/>
  </r>
  <r>
    <n v="317"/>
    <n v="127117"/>
    <s v="CUSTOMER317"/>
    <x v="0"/>
    <x v="30"/>
    <x v="2"/>
    <s v="DainikJagran"/>
    <x v="2"/>
    <n v="28"/>
    <n v="27"/>
    <n v="28"/>
    <n v="27"/>
    <n v="28"/>
    <n v="27"/>
    <n v="27"/>
    <n v="27"/>
    <n v="27"/>
    <n v="27"/>
    <n v="28"/>
    <n v="28"/>
    <n v="329"/>
    <x v="7"/>
    <d v="2026-09-02T00:00:00"/>
    <n v="1974"/>
    <n v="3"/>
    <x v="0"/>
  </r>
  <r>
    <n v="318"/>
    <n v="127118"/>
    <s v="CUSTOMER318"/>
    <x v="0"/>
    <x v="31"/>
    <x v="2"/>
    <s v="DainikJagran"/>
    <x v="0"/>
    <n v="27"/>
    <n v="27"/>
    <n v="28"/>
    <n v="28"/>
    <n v="28"/>
    <n v="27"/>
    <n v="27"/>
    <n v="27"/>
    <n v="28"/>
    <n v="27"/>
    <n v="27"/>
    <n v="28"/>
    <n v="329"/>
    <x v="4"/>
    <d v="2026-01-20T00:00:00"/>
    <n v="1974"/>
    <n v="5"/>
    <x v="1"/>
  </r>
  <r>
    <n v="319"/>
    <n v="127119"/>
    <s v="CUSTOMER319"/>
    <x v="0"/>
    <x v="24"/>
    <x v="2"/>
    <s v="TheTimesofIndia"/>
    <x v="1"/>
    <n v="27"/>
    <n v="28"/>
    <n v="27"/>
    <n v="27"/>
    <n v="27"/>
    <n v="27"/>
    <n v="28"/>
    <n v="27"/>
    <n v="28"/>
    <n v="27"/>
    <n v="27"/>
    <n v="28"/>
    <n v="328"/>
    <x v="4"/>
    <d v="2026-01-17T00:00:00"/>
    <n v="1968"/>
    <n v="5"/>
    <x v="0"/>
  </r>
  <r>
    <n v="320"/>
    <n v="127120"/>
    <s v="CUSTOMER320"/>
    <x v="0"/>
    <x v="4"/>
    <x v="0"/>
    <s v="TheTimesofIndia"/>
    <x v="0"/>
    <n v="28"/>
    <n v="28"/>
    <n v="28"/>
    <n v="27"/>
    <n v="27"/>
    <n v="28"/>
    <n v="28"/>
    <n v="28"/>
    <n v="28"/>
    <n v="27"/>
    <n v="27"/>
    <n v="28"/>
    <n v="332"/>
    <x v="4"/>
    <d v="2026-01-12T00:00:00"/>
    <n v="1992"/>
    <n v="4"/>
    <x v="0"/>
  </r>
  <r>
    <n v="321"/>
    <n v="127121"/>
    <s v="CUSTOMER321"/>
    <x v="0"/>
    <x v="8"/>
    <x v="0"/>
    <s v="TheTimesofIndia"/>
    <x v="1"/>
    <n v="27"/>
    <n v="27"/>
    <n v="27"/>
    <n v="27"/>
    <n v="27"/>
    <n v="27"/>
    <n v="28"/>
    <n v="28"/>
    <n v="28"/>
    <n v="27"/>
    <n v="27"/>
    <n v="28"/>
    <n v="328"/>
    <x v="7"/>
    <d v="2026-09-19T00:00:00"/>
    <n v="1968"/>
    <n v="3"/>
    <x v="1"/>
  </r>
  <r>
    <n v="322"/>
    <n v="127122"/>
    <s v="CUSTOMER322"/>
    <x v="1"/>
    <x v="7"/>
    <x v="1"/>
    <s v="TheTimesofIndia"/>
    <x v="2"/>
    <n v="27"/>
    <n v="28"/>
    <n v="27"/>
    <n v="28"/>
    <n v="27"/>
    <n v="27"/>
    <n v="28"/>
    <n v="28"/>
    <n v="28"/>
    <n v="28"/>
    <n v="27"/>
    <n v="27"/>
    <n v="330"/>
    <x v="0"/>
    <d v="2026-03-05T00:00:00"/>
    <n v="1980"/>
    <n v="5"/>
    <x v="0"/>
  </r>
  <r>
    <n v="323"/>
    <n v="127123"/>
    <s v="CUSTOMER323"/>
    <x v="0"/>
    <x v="14"/>
    <x v="2"/>
    <s v="DainikBhaskar"/>
    <x v="1"/>
    <n v="27"/>
    <n v="27"/>
    <n v="28"/>
    <n v="27"/>
    <n v="28"/>
    <n v="27"/>
    <n v="28"/>
    <n v="27"/>
    <n v="27"/>
    <n v="28"/>
    <n v="28"/>
    <n v="28"/>
    <n v="330"/>
    <x v="2"/>
    <d v="2026-07-01T00:00:00"/>
    <n v="1980"/>
    <n v="3"/>
    <x v="0"/>
  </r>
  <r>
    <n v="324"/>
    <n v="127124"/>
    <s v="CUSTOMER324"/>
    <x v="0"/>
    <x v="0"/>
    <x v="0"/>
    <s v="DainikJagran"/>
    <x v="1"/>
    <n v="27"/>
    <n v="27"/>
    <n v="27"/>
    <n v="28"/>
    <n v="27"/>
    <n v="28"/>
    <n v="28"/>
    <n v="27"/>
    <n v="27"/>
    <n v="27"/>
    <n v="28"/>
    <n v="27"/>
    <n v="328"/>
    <x v="7"/>
    <d v="2026-09-20T00:00:00"/>
    <n v="1968"/>
    <n v="3"/>
    <x v="1"/>
  </r>
  <r>
    <n v="325"/>
    <n v="127125"/>
    <s v="CUSTOMER325"/>
    <x v="0"/>
    <x v="29"/>
    <x v="3"/>
    <s v="TheTimesofIndia"/>
    <x v="2"/>
    <n v="28"/>
    <n v="27"/>
    <n v="27"/>
    <n v="28"/>
    <n v="27"/>
    <n v="28"/>
    <n v="27"/>
    <n v="27"/>
    <n v="28"/>
    <n v="27"/>
    <n v="27"/>
    <n v="28"/>
    <n v="329"/>
    <x v="1"/>
    <d v="2026-06-14T00:00:00"/>
    <n v="1974"/>
    <n v="5"/>
    <x v="0"/>
  </r>
  <r>
    <n v="326"/>
    <n v="127126"/>
    <s v="CUSTOMER326"/>
    <x v="1"/>
    <x v="22"/>
    <x v="1"/>
    <s v="PunjabKesri"/>
    <x v="1"/>
    <n v="27"/>
    <n v="27"/>
    <n v="28"/>
    <n v="28"/>
    <n v="28"/>
    <n v="27"/>
    <n v="28"/>
    <n v="28"/>
    <n v="27"/>
    <n v="27"/>
    <n v="27"/>
    <n v="27"/>
    <n v="329"/>
    <x v="7"/>
    <d v="2026-09-24T00:00:00"/>
    <n v="1974"/>
    <n v="3"/>
    <x v="1"/>
  </r>
  <r>
    <n v="327"/>
    <n v="127127"/>
    <s v="CUSTOMER327"/>
    <x v="0"/>
    <x v="20"/>
    <x v="3"/>
    <s v="TheTimesofIndia"/>
    <x v="1"/>
    <n v="27"/>
    <n v="28"/>
    <n v="28"/>
    <n v="28"/>
    <n v="28"/>
    <n v="27"/>
    <n v="28"/>
    <n v="28"/>
    <n v="27"/>
    <n v="28"/>
    <n v="27"/>
    <n v="27"/>
    <n v="331"/>
    <x v="0"/>
    <d v="2026-03-25T00:00:00"/>
    <n v="1986"/>
    <n v="4"/>
    <x v="0"/>
  </r>
  <r>
    <n v="328"/>
    <n v="127128"/>
    <s v="CUSTOMER328"/>
    <x v="1"/>
    <x v="32"/>
    <x v="1"/>
    <s v="Rajasthanpatrika"/>
    <x v="1"/>
    <n v="27"/>
    <n v="28"/>
    <n v="27"/>
    <n v="27"/>
    <n v="28"/>
    <n v="28"/>
    <n v="28"/>
    <n v="28"/>
    <n v="27"/>
    <n v="27"/>
    <n v="28"/>
    <n v="27"/>
    <n v="330"/>
    <x v="5"/>
    <d v="2026-02-12T00:00:00"/>
    <n v="1980"/>
    <n v="4"/>
    <x v="0"/>
  </r>
  <r>
    <n v="329"/>
    <n v="127129"/>
    <s v="CUSTOMER329"/>
    <x v="1"/>
    <x v="18"/>
    <x v="1"/>
    <s v="PunjabKesri"/>
    <x v="2"/>
    <n v="28"/>
    <n v="28"/>
    <n v="27"/>
    <n v="27"/>
    <n v="27"/>
    <n v="28"/>
    <n v="28"/>
    <n v="27"/>
    <n v="28"/>
    <n v="27"/>
    <n v="27"/>
    <n v="27"/>
    <n v="329"/>
    <x v="2"/>
    <d v="2026-07-03T00:00:00"/>
    <n v="1974"/>
    <n v="4"/>
    <x v="0"/>
  </r>
  <r>
    <n v="330"/>
    <n v="127130"/>
    <s v="CUSTOMER330"/>
    <x v="0"/>
    <x v="6"/>
    <x v="0"/>
    <s v="PunjabKesri"/>
    <x v="1"/>
    <n v="27"/>
    <n v="27"/>
    <n v="27"/>
    <n v="27"/>
    <n v="28"/>
    <n v="28"/>
    <n v="27"/>
    <n v="28"/>
    <n v="27"/>
    <n v="27"/>
    <n v="28"/>
    <n v="27"/>
    <n v="328"/>
    <x v="5"/>
    <d v="2026-02-02T00:00:00"/>
    <n v="1968"/>
    <n v="3"/>
    <x v="0"/>
  </r>
  <r>
    <n v="331"/>
    <n v="127131"/>
    <s v="CUSTOMER331"/>
    <x v="0"/>
    <x v="19"/>
    <x v="2"/>
    <s v="DainikBhaskar"/>
    <x v="0"/>
    <n v="27"/>
    <n v="28"/>
    <n v="27"/>
    <n v="28"/>
    <n v="27"/>
    <n v="27"/>
    <n v="28"/>
    <n v="27"/>
    <n v="27"/>
    <n v="28"/>
    <n v="27"/>
    <n v="28"/>
    <n v="329"/>
    <x v="8"/>
    <d v="2026-08-30T00:00:00"/>
    <n v="1974"/>
    <n v="5"/>
    <x v="0"/>
  </r>
  <r>
    <n v="332"/>
    <n v="127132"/>
    <s v="CUSTOMER332"/>
    <x v="0"/>
    <x v="32"/>
    <x v="1"/>
    <s v="Rajasthanpatrika"/>
    <x v="0"/>
    <n v="27"/>
    <n v="28"/>
    <n v="27"/>
    <n v="28"/>
    <n v="27"/>
    <n v="27"/>
    <n v="28"/>
    <n v="28"/>
    <n v="28"/>
    <n v="28"/>
    <n v="27"/>
    <n v="28"/>
    <n v="331"/>
    <x v="5"/>
    <d v="2026-02-22T00:00:00"/>
    <n v="1986"/>
    <n v="3"/>
    <x v="1"/>
  </r>
  <r>
    <n v="333"/>
    <n v="127133"/>
    <s v="CUSTOMER333"/>
    <x v="0"/>
    <x v="16"/>
    <x v="1"/>
    <s v="DainikBhaskar"/>
    <x v="1"/>
    <n v="28"/>
    <n v="27"/>
    <n v="27"/>
    <n v="27"/>
    <n v="27"/>
    <n v="27"/>
    <n v="27"/>
    <n v="27"/>
    <n v="28"/>
    <n v="27"/>
    <n v="27"/>
    <n v="28"/>
    <n v="327"/>
    <x v="2"/>
    <d v="2026-07-01T00:00:00"/>
    <n v="1962"/>
    <n v="5"/>
    <x v="0"/>
  </r>
  <r>
    <n v="334"/>
    <n v="127134"/>
    <s v="CUSTOMER334"/>
    <x v="0"/>
    <x v="15"/>
    <x v="1"/>
    <s v="TheTimesofIndia"/>
    <x v="2"/>
    <n v="28"/>
    <n v="28"/>
    <n v="27"/>
    <n v="27"/>
    <n v="27"/>
    <n v="27"/>
    <n v="27"/>
    <n v="28"/>
    <n v="28"/>
    <n v="28"/>
    <n v="27"/>
    <n v="28"/>
    <n v="330"/>
    <x v="8"/>
    <d v="2026-08-09T00:00:00"/>
    <n v="1980"/>
    <n v="5"/>
    <x v="0"/>
  </r>
  <r>
    <n v="335"/>
    <n v="127135"/>
    <s v="CUSTOMER335"/>
    <x v="0"/>
    <x v="28"/>
    <x v="3"/>
    <s v="PunjabKesri"/>
    <x v="0"/>
    <n v="27"/>
    <n v="28"/>
    <n v="27"/>
    <n v="28"/>
    <n v="28"/>
    <n v="28"/>
    <n v="27"/>
    <n v="27"/>
    <n v="27"/>
    <n v="28"/>
    <n v="27"/>
    <n v="27"/>
    <n v="329"/>
    <x v="7"/>
    <d v="2026-09-01T00:00:00"/>
    <n v="1974"/>
    <n v="5"/>
    <x v="0"/>
  </r>
  <r>
    <n v="336"/>
    <n v="127136"/>
    <s v="CUSTOMER336"/>
    <x v="0"/>
    <x v="3"/>
    <x v="0"/>
    <s v="DainikJagran"/>
    <x v="1"/>
    <n v="27"/>
    <n v="28"/>
    <n v="28"/>
    <n v="27"/>
    <n v="28"/>
    <n v="28"/>
    <n v="28"/>
    <n v="27"/>
    <n v="28"/>
    <n v="28"/>
    <n v="28"/>
    <n v="28"/>
    <n v="333"/>
    <x v="8"/>
    <d v="2026-08-30T00:00:00"/>
    <n v="1998"/>
    <n v="4"/>
    <x v="1"/>
  </r>
  <r>
    <n v="337"/>
    <n v="127137"/>
    <s v="CUSTOMER337"/>
    <x v="1"/>
    <x v="15"/>
    <x v="1"/>
    <s v="TheTimesofIndia"/>
    <x v="1"/>
    <n v="28"/>
    <n v="27"/>
    <n v="28"/>
    <n v="27"/>
    <n v="27"/>
    <n v="27"/>
    <n v="27"/>
    <n v="27"/>
    <n v="27"/>
    <n v="28"/>
    <n v="27"/>
    <n v="27"/>
    <n v="327"/>
    <x v="1"/>
    <d v="2026-06-08T00:00:00"/>
    <n v="1962"/>
    <n v="3"/>
    <x v="1"/>
  </r>
  <r>
    <n v="338"/>
    <n v="127138"/>
    <s v="CUSTOMER338"/>
    <x v="1"/>
    <x v="22"/>
    <x v="1"/>
    <s v="DainikBhaskar"/>
    <x v="1"/>
    <n v="28"/>
    <n v="28"/>
    <n v="28"/>
    <n v="28"/>
    <n v="28"/>
    <n v="27"/>
    <n v="27"/>
    <n v="27"/>
    <n v="27"/>
    <n v="27"/>
    <n v="27"/>
    <n v="27"/>
    <n v="329"/>
    <x v="8"/>
    <d v="2026-08-27T00:00:00"/>
    <n v="1974"/>
    <n v="4"/>
    <x v="1"/>
  </r>
  <r>
    <n v="339"/>
    <n v="127139"/>
    <s v="CUSTOMER339"/>
    <x v="0"/>
    <x v="11"/>
    <x v="2"/>
    <s v="DainikJagran"/>
    <x v="2"/>
    <n v="27"/>
    <n v="27"/>
    <n v="28"/>
    <n v="28"/>
    <n v="27"/>
    <n v="28"/>
    <n v="27"/>
    <n v="27"/>
    <n v="27"/>
    <n v="28"/>
    <n v="27"/>
    <n v="28"/>
    <n v="329"/>
    <x v="2"/>
    <d v="2026-07-01T00:00:00"/>
    <n v="1974"/>
    <n v="4"/>
    <x v="1"/>
  </r>
  <r>
    <n v="340"/>
    <n v="127140"/>
    <s v="CUSTOMER340"/>
    <x v="0"/>
    <x v="2"/>
    <x v="1"/>
    <s v="TheTimesofIndia"/>
    <x v="2"/>
    <n v="27"/>
    <n v="28"/>
    <n v="28"/>
    <n v="28"/>
    <n v="28"/>
    <n v="28"/>
    <n v="28"/>
    <n v="28"/>
    <n v="28"/>
    <n v="27"/>
    <n v="28"/>
    <n v="28"/>
    <n v="334"/>
    <x v="5"/>
    <d v="2026-02-18T00:00:00"/>
    <n v="2004"/>
    <n v="4"/>
    <x v="1"/>
  </r>
  <r>
    <n v="341"/>
    <n v="127141"/>
    <s v="CUSTOMER341"/>
    <x v="0"/>
    <x v="28"/>
    <x v="3"/>
    <s v="DainikJagran"/>
    <x v="1"/>
    <n v="28"/>
    <n v="27"/>
    <n v="27"/>
    <n v="27"/>
    <n v="28"/>
    <n v="28"/>
    <n v="28"/>
    <n v="27"/>
    <n v="28"/>
    <n v="28"/>
    <n v="28"/>
    <n v="27"/>
    <n v="331"/>
    <x v="8"/>
    <d v="2026-08-24T00:00:00"/>
    <n v="1986"/>
    <n v="3"/>
    <x v="1"/>
  </r>
  <r>
    <n v="342"/>
    <n v="127142"/>
    <s v="CUSTOMER342"/>
    <x v="0"/>
    <x v="29"/>
    <x v="3"/>
    <s v="DainikBhaskar"/>
    <x v="0"/>
    <n v="28"/>
    <n v="28"/>
    <n v="27"/>
    <n v="27"/>
    <n v="28"/>
    <n v="28"/>
    <n v="28"/>
    <n v="28"/>
    <n v="28"/>
    <n v="27"/>
    <n v="27"/>
    <n v="27"/>
    <n v="331"/>
    <x v="6"/>
    <d v="2026-04-06T00:00:00"/>
    <n v="1986"/>
    <n v="5"/>
    <x v="1"/>
  </r>
  <r>
    <n v="343"/>
    <n v="127143"/>
    <s v="CUSTOMER343"/>
    <x v="0"/>
    <x v="3"/>
    <x v="0"/>
    <s v="PunjabKesri"/>
    <x v="2"/>
    <n v="27"/>
    <n v="27"/>
    <n v="27"/>
    <n v="28"/>
    <n v="27"/>
    <n v="27"/>
    <n v="27"/>
    <n v="27"/>
    <n v="28"/>
    <n v="28"/>
    <n v="27"/>
    <n v="27"/>
    <n v="327"/>
    <x v="3"/>
    <d v="2026-05-28T00:00:00"/>
    <n v="1962"/>
    <n v="5"/>
    <x v="0"/>
  </r>
  <r>
    <n v="344"/>
    <n v="127144"/>
    <s v="CUSTOMER344"/>
    <x v="1"/>
    <x v="12"/>
    <x v="1"/>
    <s v="TheTimesofIndia"/>
    <x v="0"/>
    <n v="28"/>
    <n v="28"/>
    <n v="27"/>
    <n v="27"/>
    <n v="28"/>
    <n v="28"/>
    <n v="28"/>
    <n v="27"/>
    <n v="28"/>
    <n v="27"/>
    <n v="28"/>
    <n v="28"/>
    <n v="332"/>
    <x v="7"/>
    <d v="2026-09-13T00:00:00"/>
    <n v="1992"/>
    <n v="3"/>
    <x v="1"/>
  </r>
  <r>
    <n v="345"/>
    <n v="127145"/>
    <s v="CUSTOMER345"/>
    <x v="0"/>
    <x v="25"/>
    <x v="3"/>
    <s v="DainikJagran"/>
    <x v="1"/>
    <n v="27"/>
    <n v="28"/>
    <n v="27"/>
    <n v="27"/>
    <n v="28"/>
    <n v="28"/>
    <n v="27"/>
    <n v="28"/>
    <n v="28"/>
    <n v="28"/>
    <n v="28"/>
    <n v="28"/>
    <n v="332"/>
    <x v="3"/>
    <d v="2026-05-28T00:00:00"/>
    <n v="1992"/>
    <n v="5"/>
    <x v="1"/>
  </r>
  <r>
    <n v="346"/>
    <n v="127146"/>
    <s v="CUSTOMER346"/>
    <x v="0"/>
    <x v="3"/>
    <x v="0"/>
    <s v="TheTimesofIndia"/>
    <x v="1"/>
    <n v="27"/>
    <n v="28"/>
    <n v="28"/>
    <n v="27"/>
    <n v="27"/>
    <n v="27"/>
    <n v="27"/>
    <n v="27"/>
    <n v="27"/>
    <n v="27"/>
    <n v="27"/>
    <n v="28"/>
    <n v="327"/>
    <x v="3"/>
    <d v="2026-05-24T00:00:00"/>
    <n v="1962"/>
    <n v="5"/>
    <x v="0"/>
  </r>
  <r>
    <n v="347"/>
    <n v="127147"/>
    <s v="CUSTOMER347"/>
    <x v="0"/>
    <x v="21"/>
    <x v="3"/>
    <s v="TheTimesofIndia"/>
    <x v="1"/>
    <n v="27"/>
    <n v="27"/>
    <n v="27"/>
    <n v="28"/>
    <n v="27"/>
    <n v="27"/>
    <n v="28"/>
    <n v="28"/>
    <n v="27"/>
    <n v="28"/>
    <n v="27"/>
    <n v="28"/>
    <n v="329"/>
    <x v="1"/>
    <d v="2026-06-04T00:00:00"/>
    <n v="1974"/>
    <n v="4"/>
    <x v="1"/>
  </r>
  <r>
    <n v="348"/>
    <n v="127148"/>
    <s v="CUSTOMER348"/>
    <x v="1"/>
    <x v="9"/>
    <x v="0"/>
    <s v="TheTimesofIndia"/>
    <x v="1"/>
    <n v="28"/>
    <n v="27"/>
    <n v="28"/>
    <n v="28"/>
    <n v="28"/>
    <n v="28"/>
    <n v="28"/>
    <n v="27"/>
    <n v="28"/>
    <n v="28"/>
    <n v="27"/>
    <n v="27"/>
    <n v="332"/>
    <x v="1"/>
    <d v="2026-06-13T00:00:00"/>
    <n v="1992"/>
    <n v="3"/>
    <x v="0"/>
  </r>
  <r>
    <n v="349"/>
    <n v="127149"/>
    <s v="CUSTOMER349"/>
    <x v="0"/>
    <x v="7"/>
    <x v="1"/>
    <s v="Rajasthanpatrika"/>
    <x v="2"/>
    <n v="27"/>
    <n v="27"/>
    <n v="28"/>
    <n v="27"/>
    <n v="27"/>
    <n v="27"/>
    <n v="28"/>
    <n v="27"/>
    <n v="27"/>
    <n v="27"/>
    <n v="28"/>
    <n v="28"/>
    <n v="328"/>
    <x v="1"/>
    <d v="2026-06-09T00:00:00"/>
    <n v="1968"/>
    <n v="5"/>
    <x v="1"/>
  </r>
  <r>
    <n v="350"/>
    <n v="127150"/>
    <s v="CUSTOMER350"/>
    <x v="1"/>
    <x v="10"/>
    <x v="2"/>
    <s v="DainikBhaskar"/>
    <x v="0"/>
    <n v="27"/>
    <n v="28"/>
    <n v="28"/>
    <n v="27"/>
    <n v="28"/>
    <n v="27"/>
    <n v="27"/>
    <n v="27"/>
    <n v="27"/>
    <n v="27"/>
    <n v="28"/>
    <n v="28"/>
    <n v="329"/>
    <x v="7"/>
    <d v="2026-09-17T00:00:00"/>
    <n v="1974"/>
    <n v="4"/>
    <x v="0"/>
  </r>
  <r>
    <n v="351"/>
    <n v="127151"/>
    <s v="CUSTOMER351"/>
    <x v="1"/>
    <x v="19"/>
    <x v="2"/>
    <s v="DainikBhaskar"/>
    <x v="0"/>
    <n v="28"/>
    <n v="28"/>
    <n v="28"/>
    <n v="27"/>
    <n v="27"/>
    <n v="27"/>
    <n v="28"/>
    <n v="27"/>
    <n v="27"/>
    <n v="28"/>
    <n v="27"/>
    <n v="28"/>
    <n v="330"/>
    <x v="1"/>
    <d v="2026-06-10T00:00:00"/>
    <n v="1980"/>
    <n v="5"/>
    <x v="1"/>
  </r>
  <r>
    <n v="352"/>
    <n v="127152"/>
    <s v="CUSTOMER352"/>
    <x v="0"/>
    <x v="8"/>
    <x v="0"/>
    <s v="TheTimesofIndia"/>
    <x v="0"/>
    <n v="27"/>
    <n v="28"/>
    <n v="28"/>
    <n v="27"/>
    <n v="28"/>
    <n v="28"/>
    <n v="27"/>
    <n v="27"/>
    <n v="28"/>
    <n v="28"/>
    <n v="28"/>
    <n v="27"/>
    <n v="331"/>
    <x v="8"/>
    <d v="2026-08-29T00:00:00"/>
    <n v="1986"/>
    <n v="5"/>
    <x v="1"/>
  </r>
  <r>
    <n v="353"/>
    <n v="127153"/>
    <s v="CUSTOMER353"/>
    <x v="0"/>
    <x v="22"/>
    <x v="1"/>
    <s v="DainikBhaskar"/>
    <x v="0"/>
    <n v="27"/>
    <n v="27"/>
    <n v="27"/>
    <n v="27"/>
    <n v="28"/>
    <n v="27"/>
    <n v="28"/>
    <n v="28"/>
    <n v="28"/>
    <n v="28"/>
    <n v="28"/>
    <n v="27"/>
    <n v="330"/>
    <x v="3"/>
    <d v="2026-05-05T00:00:00"/>
    <n v="1980"/>
    <n v="4"/>
    <x v="0"/>
  </r>
  <r>
    <n v="354"/>
    <n v="127154"/>
    <s v="CUSTOMER354"/>
    <x v="0"/>
    <x v="29"/>
    <x v="3"/>
    <s v="Rajasthanpatrika"/>
    <x v="1"/>
    <n v="27"/>
    <n v="28"/>
    <n v="27"/>
    <n v="27"/>
    <n v="27"/>
    <n v="27"/>
    <n v="27"/>
    <n v="28"/>
    <n v="28"/>
    <n v="28"/>
    <n v="28"/>
    <n v="27"/>
    <n v="329"/>
    <x v="8"/>
    <d v="2026-08-23T00:00:00"/>
    <n v="1974"/>
    <n v="4"/>
    <x v="0"/>
  </r>
  <r>
    <n v="355"/>
    <n v="127155"/>
    <s v="CUSTOMER355"/>
    <x v="0"/>
    <x v="26"/>
    <x v="2"/>
    <s v="Rajasthanpatrika"/>
    <x v="2"/>
    <n v="28"/>
    <n v="28"/>
    <n v="28"/>
    <n v="27"/>
    <n v="28"/>
    <n v="27"/>
    <n v="27"/>
    <n v="27"/>
    <n v="28"/>
    <n v="27"/>
    <n v="28"/>
    <n v="28"/>
    <n v="331"/>
    <x v="3"/>
    <d v="2026-05-08T00:00:00"/>
    <n v="1986"/>
    <n v="4"/>
    <x v="0"/>
  </r>
  <r>
    <n v="356"/>
    <n v="127156"/>
    <s v="CUSTOMER356"/>
    <x v="0"/>
    <x v="16"/>
    <x v="1"/>
    <s v="Rajasthanpatrika"/>
    <x v="2"/>
    <n v="28"/>
    <n v="28"/>
    <n v="28"/>
    <n v="28"/>
    <n v="27"/>
    <n v="28"/>
    <n v="28"/>
    <n v="27"/>
    <n v="27"/>
    <n v="28"/>
    <n v="28"/>
    <n v="27"/>
    <n v="332"/>
    <x v="8"/>
    <d v="2026-08-06T00:00:00"/>
    <n v="1992"/>
    <n v="4"/>
    <x v="0"/>
  </r>
  <r>
    <n v="357"/>
    <n v="127157"/>
    <s v="CUSTOMER357"/>
    <x v="0"/>
    <x v="26"/>
    <x v="2"/>
    <s v="Rajasthanpatrika"/>
    <x v="2"/>
    <n v="28"/>
    <n v="28"/>
    <n v="27"/>
    <n v="28"/>
    <n v="28"/>
    <n v="27"/>
    <n v="28"/>
    <n v="28"/>
    <n v="27"/>
    <n v="27"/>
    <n v="28"/>
    <n v="27"/>
    <n v="331"/>
    <x v="5"/>
    <d v="2026-02-05T00:00:00"/>
    <n v="1986"/>
    <n v="5"/>
    <x v="1"/>
  </r>
  <r>
    <n v="358"/>
    <n v="127158"/>
    <s v="CUSTOMER358"/>
    <x v="0"/>
    <x v="17"/>
    <x v="1"/>
    <s v="DainikJagran"/>
    <x v="0"/>
    <n v="27"/>
    <n v="28"/>
    <n v="27"/>
    <n v="27"/>
    <n v="27"/>
    <n v="28"/>
    <n v="27"/>
    <n v="28"/>
    <n v="27"/>
    <n v="27"/>
    <n v="28"/>
    <n v="27"/>
    <n v="328"/>
    <x v="8"/>
    <d v="2026-08-26T00:00:00"/>
    <n v="1968"/>
    <n v="3"/>
    <x v="1"/>
  </r>
  <r>
    <n v="359"/>
    <n v="127159"/>
    <s v="CUSTOMER359"/>
    <x v="1"/>
    <x v="9"/>
    <x v="0"/>
    <s v="TheTimesofIndia"/>
    <x v="2"/>
    <n v="27"/>
    <n v="28"/>
    <n v="27"/>
    <n v="28"/>
    <n v="28"/>
    <n v="27"/>
    <n v="28"/>
    <n v="28"/>
    <n v="28"/>
    <n v="27"/>
    <n v="27"/>
    <n v="27"/>
    <n v="330"/>
    <x v="8"/>
    <d v="2026-08-10T00:00:00"/>
    <n v="1980"/>
    <n v="4"/>
    <x v="1"/>
  </r>
  <r>
    <n v="360"/>
    <n v="127160"/>
    <s v="CUSTOMER360"/>
    <x v="1"/>
    <x v="9"/>
    <x v="0"/>
    <s v="TheTimesofIndia"/>
    <x v="2"/>
    <n v="28"/>
    <n v="27"/>
    <n v="27"/>
    <n v="28"/>
    <n v="28"/>
    <n v="27"/>
    <n v="27"/>
    <n v="28"/>
    <n v="28"/>
    <n v="28"/>
    <n v="28"/>
    <n v="28"/>
    <n v="332"/>
    <x v="6"/>
    <d v="2026-04-21T00:00:00"/>
    <n v="1992"/>
    <n v="5"/>
    <x v="0"/>
  </r>
  <r>
    <n v="361"/>
    <n v="127161"/>
    <s v="CUSTOMER361"/>
    <x v="0"/>
    <x v="29"/>
    <x v="3"/>
    <s v="DainikJagran"/>
    <x v="0"/>
    <n v="28"/>
    <n v="27"/>
    <n v="27"/>
    <n v="28"/>
    <n v="27"/>
    <n v="27"/>
    <n v="28"/>
    <n v="28"/>
    <n v="28"/>
    <n v="28"/>
    <n v="27"/>
    <n v="27"/>
    <n v="330"/>
    <x v="6"/>
    <d v="2026-04-09T00:00:00"/>
    <n v="1980"/>
    <n v="5"/>
    <x v="1"/>
  </r>
  <r>
    <n v="362"/>
    <n v="127162"/>
    <s v="CUSTOMER362"/>
    <x v="0"/>
    <x v="27"/>
    <x v="2"/>
    <s v="DainikJagran"/>
    <x v="1"/>
    <n v="27"/>
    <n v="27"/>
    <n v="27"/>
    <n v="28"/>
    <n v="27"/>
    <n v="28"/>
    <n v="27"/>
    <n v="28"/>
    <n v="28"/>
    <n v="27"/>
    <n v="27"/>
    <n v="28"/>
    <n v="329"/>
    <x v="7"/>
    <d v="2026-09-07T00:00:00"/>
    <n v="1974"/>
    <n v="5"/>
    <x v="1"/>
  </r>
  <r>
    <n v="363"/>
    <n v="127163"/>
    <s v="CUSTOMER363"/>
    <x v="0"/>
    <x v="30"/>
    <x v="2"/>
    <s v="DainikBhaskar"/>
    <x v="0"/>
    <n v="27"/>
    <n v="27"/>
    <n v="27"/>
    <n v="27"/>
    <n v="28"/>
    <n v="28"/>
    <n v="27"/>
    <n v="27"/>
    <n v="28"/>
    <n v="27"/>
    <n v="28"/>
    <n v="27"/>
    <n v="328"/>
    <x v="8"/>
    <d v="2026-08-19T00:00:00"/>
    <n v="1968"/>
    <n v="3"/>
    <x v="0"/>
  </r>
  <r>
    <n v="364"/>
    <n v="127164"/>
    <s v="CUSTOMER364"/>
    <x v="0"/>
    <x v="9"/>
    <x v="0"/>
    <s v="PunjabKesri"/>
    <x v="1"/>
    <n v="28"/>
    <n v="28"/>
    <n v="27"/>
    <n v="27"/>
    <n v="28"/>
    <n v="27"/>
    <n v="27"/>
    <n v="28"/>
    <n v="27"/>
    <n v="27"/>
    <n v="27"/>
    <n v="27"/>
    <n v="328"/>
    <x v="6"/>
    <d v="2026-04-28T00:00:00"/>
    <n v="1968"/>
    <n v="5"/>
    <x v="0"/>
  </r>
  <r>
    <n v="365"/>
    <n v="127165"/>
    <s v="CUSTOMER365"/>
    <x v="0"/>
    <x v="10"/>
    <x v="2"/>
    <s v="PunjabKesri"/>
    <x v="1"/>
    <n v="28"/>
    <n v="27"/>
    <n v="27"/>
    <n v="28"/>
    <n v="28"/>
    <n v="28"/>
    <n v="27"/>
    <n v="27"/>
    <n v="27"/>
    <n v="27"/>
    <n v="27"/>
    <n v="27"/>
    <n v="328"/>
    <x v="4"/>
    <d v="2026-01-04T00:00:00"/>
    <n v="1968"/>
    <n v="4"/>
    <x v="1"/>
  </r>
  <r>
    <n v="366"/>
    <n v="127166"/>
    <s v="CUSTOMER366"/>
    <x v="1"/>
    <x v="14"/>
    <x v="2"/>
    <s v="DainikBhaskar"/>
    <x v="2"/>
    <n v="28"/>
    <n v="28"/>
    <n v="28"/>
    <n v="28"/>
    <n v="28"/>
    <n v="28"/>
    <n v="27"/>
    <n v="28"/>
    <n v="27"/>
    <n v="27"/>
    <n v="27"/>
    <n v="28"/>
    <n v="332"/>
    <x v="8"/>
    <d v="2026-08-26T00:00:00"/>
    <n v="1992"/>
    <n v="3"/>
    <x v="0"/>
  </r>
  <r>
    <n v="367"/>
    <n v="127167"/>
    <s v="CUSTOMER367"/>
    <x v="0"/>
    <x v="15"/>
    <x v="1"/>
    <s v="PunjabKesri"/>
    <x v="1"/>
    <n v="27"/>
    <n v="28"/>
    <n v="28"/>
    <n v="27"/>
    <n v="27"/>
    <n v="28"/>
    <n v="27"/>
    <n v="28"/>
    <n v="27"/>
    <n v="27"/>
    <n v="28"/>
    <n v="27"/>
    <n v="329"/>
    <x v="1"/>
    <d v="2026-06-06T00:00:00"/>
    <n v="1974"/>
    <n v="3"/>
    <x v="0"/>
  </r>
  <r>
    <n v="368"/>
    <n v="127168"/>
    <s v="CUSTOMER368"/>
    <x v="0"/>
    <x v="16"/>
    <x v="1"/>
    <s v="Rajasthanpatrika"/>
    <x v="2"/>
    <n v="27"/>
    <n v="28"/>
    <n v="27"/>
    <n v="27"/>
    <n v="28"/>
    <n v="27"/>
    <n v="27"/>
    <n v="28"/>
    <n v="27"/>
    <n v="28"/>
    <n v="28"/>
    <n v="28"/>
    <n v="330"/>
    <x v="5"/>
    <d v="2026-02-25T00:00:00"/>
    <n v="1980"/>
    <n v="4"/>
    <x v="0"/>
  </r>
  <r>
    <n v="369"/>
    <n v="127169"/>
    <s v="CUSTOMER369"/>
    <x v="0"/>
    <x v="25"/>
    <x v="3"/>
    <s v="Rajasthanpatrika"/>
    <x v="1"/>
    <n v="28"/>
    <n v="27"/>
    <n v="27"/>
    <n v="27"/>
    <n v="28"/>
    <n v="28"/>
    <n v="28"/>
    <n v="28"/>
    <n v="27"/>
    <n v="27"/>
    <n v="27"/>
    <n v="27"/>
    <n v="329"/>
    <x v="5"/>
    <d v="2026-02-23T00:00:00"/>
    <n v="1974"/>
    <n v="4"/>
    <x v="0"/>
  </r>
  <r>
    <n v="370"/>
    <n v="127170"/>
    <s v="CUSTOMER370"/>
    <x v="1"/>
    <x v="0"/>
    <x v="0"/>
    <s v="TheTimesofIndia"/>
    <x v="0"/>
    <n v="27"/>
    <n v="28"/>
    <n v="27"/>
    <n v="27"/>
    <n v="28"/>
    <n v="28"/>
    <n v="27"/>
    <n v="28"/>
    <n v="28"/>
    <n v="28"/>
    <n v="27"/>
    <n v="28"/>
    <n v="331"/>
    <x v="3"/>
    <d v="2026-05-02T00:00:00"/>
    <n v="1986"/>
    <n v="5"/>
    <x v="1"/>
  </r>
  <r>
    <n v="371"/>
    <n v="127171"/>
    <s v="CUSTOMER371"/>
    <x v="0"/>
    <x v="30"/>
    <x v="2"/>
    <s v="Rajasthanpatrika"/>
    <x v="1"/>
    <n v="28"/>
    <n v="27"/>
    <n v="27"/>
    <n v="28"/>
    <n v="28"/>
    <n v="28"/>
    <n v="27"/>
    <n v="28"/>
    <n v="27"/>
    <n v="27"/>
    <n v="28"/>
    <n v="28"/>
    <n v="331"/>
    <x v="3"/>
    <d v="2026-05-16T00:00:00"/>
    <n v="1986"/>
    <n v="5"/>
    <x v="0"/>
  </r>
  <r>
    <n v="372"/>
    <n v="127172"/>
    <s v="CUSTOMER372"/>
    <x v="1"/>
    <x v="12"/>
    <x v="1"/>
    <s v="Rajasthanpatrika"/>
    <x v="1"/>
    <n v="28"/>
    <n v="28"/>
    <n v="28"/>
    <n v="28"/>
    <n v="28"/>
    <n v="27"/>
    <n v="27"/>
    <n v="28"/>
    <n v="27"/>
    <n v="28"/>
    <n v="28"/>
    <n v="27"/>
    <n v="332"/>
    <x v="8"/>
    <d v="2026-08-10T00:00:00"/>
    <n v="1992"/>
    <n v="4"/>
    <x v="1"/>
  </r>
  <r>
    <n v="373"/>
    <n v="127173"/>
    <s v="CUSTOMER373"/>
    <x v="1"/>
    <x v="31"/>
    <x v="2"/>
    <s v="DainikBhaskar"/>
    <x v="0"/>
    <n v="27"/>
    <n v="28"/>
    <n v="28"/>
    <n v="28"/>
    <n v="27"/>
    <n v="27"/>
    <n v="27"/>
    <n v="28"/>
    <n v="28"/>
    <n v="28"/>
    <n v="28"/>
    <n v="28"/>
    <n v="332"/>
    <x v="2"/>
    <d v="2026-07-12T00:00:00"/>
    <n v="1992"/>
    <n v="5"/>
    <x v="0"/>
  </r>
  <r>
    <n v="374"/>
    <n v="127174"/>
    <s v="CUSTOMER374"/>
    <x v="0"/>
    <x v="0"/>
    <x v="0"/>
    <s v="PunjabKesri"/>
    <x v="2"/>
    <n v="27"/>
    <n v="28"/>
    <n v="28"/>
    <n v="28"/>
    <n v="27"/>
    <n v="27"/>
    <n v="28"/>
    <n v="28"/>
    <n v="27"/>
    <n v="27"/>
    <n v="27"/>
    <n v="28"/>
    <n v="330"/>
    <x v="6"/>
    <d v="2026-04-11T00:00:00"/>
    <n v="1980"/>
    <n v="3"/>
    <x v="1"/>
  </r>
  <r>
    <n v="375"/>
    <n v="127175"/>
    <s v="CUSTOMER375"/>
    <x v="0"/>
    <x v="9"/>
    <x v="0"/>
    <s v="PunjabKesri"/>
    <x v="1"/>
    <n v="28"/>
    <n v="27"/>
    <n v="28"/>
    <n v="28"/>
    <n v="28"/>
    <n v="27"/>
    <n v="27"/>
    <n v="27"/>
    <n v="27"/>
    <n v="27"/>
    <n v="27"/>
    <n v="28"/>
    <n v="329"/>
    <x v="3"/>
    <d v="2026-05-09T00:00:00"/>
    <n v="1974"/>
    <n v="5"/>
    <x v="0"/>
  </r>
  <r>
    <n v="376"/>
    <n v="127176"/>
    <s v="CUSTOMER376"/>
    <x v="0"/>
    <x v="10"/>
    <x v="2"/>
    <s v="TheTimesofIndia"/>
    <x v="2"/>
    <n v="28"/>
    <n v="27"/>
    <n v="28"/>
    <n v="28"/>
    <n v="27"/>
    <n v="28"/>
    <n v="28"/>
    <n v="27"/>
    <n v="27"/>
    <n v="27"/>
    <n v="28"/>
    <n v="28"/>
    <n v="331"/>
    <x v="1"/>
    <d v="2026-06-17T00:00:00"/>
    <n v="1986"/>
    <n v="5"/>
    <x v="1"/>
  </r>
  <r>
    <n v="377"/>
    <n v="127177"/>
    <s v="CUSTOMER377"/>
    <x v="0"/>
    <x v="21"/>
    <x v="3"/>
    <s v="DainikJagran"/>
    <x v="0"/>
    <n v="27"/>
    <n v="27"/>
    <n v="28"/>
    <n v="28"/>
    <n v="28"/>
    <n v="28"/>
    <n v="28"/>
    <n v="27"/>
    <n v="28"/>
    <n v="27"/>
    <n v="28"/>
    <n v="27"/>
    <n v="331"/>
    <x v="1"/>
    <d v="2026-06-09T00:00:00"/>
    <n v="1986"/>
    <n v="3"/>
    <x v="0"/>
  </r>
  <r>
    <n v="378"/>
    <n v="127178"/>
    <s v="CUSTOMER378"/>
    <x v="0"/>
    <x v="1"/>
    <x v="0"/>
    <s v="TheTimesofIndia"/>
    <x v="2"/>
    <n v="27"/>
    <n v="27"/>
    <n v="27"/>
    <n v="28"/>
    <n v="27"/>
    <n v="28"/>
    <n v="28"/>
    <n v="27"/>
    <n v="28"/>
    <n v="27"/>
    <n v="27"/>
    <n v="28"/>
    <n v="329"/>
    <x v="2"/>
    <d v="2026-07-26T00:00:00"/>
    <n v="1974"/>
    <n v="5"/>
    <x v="1"/>
  </r>
  <r>
    <n v="379"/>
    <n v="127179"/>
    <s v="CUSTOMER379"/>
    <x v="0"/>
    <x v="22"/>
    <x v="1"/>
    <s v="PunjabKesri"/>
    <x v="2"/>
    <n v="28"/>
    <n v="28"/>
    <n v="28"/>
    <n v="28"/>
    <n v="28"/>
    <n v="27"/>
    <n v="27"/>
    <n v="28"/>
    <n v="27"/>
    <n v="27"/>
    <n v="27"/>
    <n v="28"/>
    <n v="331"/>
    <x v="2"/>
    <d v="2026-07-21T00:00:00"/>
    <n v="1986"/>
    <n v="5"/>
    <x v="1"/>
  </r>
  <r>
    <n v="380"/>
    <n v="127180"/>
    <s v="CUSTOMER380"/>
    <x v="0"/>
    <x v="13"/>
    <x v="1"/>
    <s v="PunjabKesri"/>
    <x v="1"/>
    <n v="28"/>
    <n v="28"/>
    <n v="28"/>
    <n v="27"/>
    <n v="28"/>
    <n v="27"/>
    <n v="28"/>
    <n v="28"/>
    <n v="28"/>
    <n v="27"/>
    <n v="28"/>
    <n v="28"/>
    <n v="333"/>
    <x v="6"/>
    <d v="2026-04-20T00:00:00"/>
    <n v="1998"/>
    <n v="5"/>
    <x v="1"/>
  </r>
  <r>
    <n v="381"/>
    <n v="127181"/>
    <s v="CUSTOMER381"/>
    <x v="1"/>
    <x v="14"/>
    <x v="2"/>
    <s v="DainikJagran"/>
    <x v="0"/>
    <n v="28"/>
    <n v="28"/>
    <n v="27"/>
    <n v="28"/>
    <n v="28"/>
    <n v="27"/>
    <n v="28"/>
    <n v="28"/>
    <n v="27"/>
    <n v="28"/>
    <n v="28"/>
    <n v="27"/>
    <n v="332"/>
    <x v="1"/>
    <d v="2026-06-08T00:00:00"/>
    <n v="1992"/>
    <n v="5"/>
    <x v="0"/>
  </r>
  <r>
    <n v="382"/>
    <n v="127182"/>
    <s v="CUSTOMER382"/>
    <x v="1"/>
    <x v="30"/>
    <x v="2"/>
    <s v="DainikJagran"/>
    <x v="1"/>
    <n v="28"/>
    <n v="27"/>
    <n v="28"/>
    <n v="28"/>
    <n v="27"/>
    <n v="27"/>
    <n v="27"/>
    <n v="28"/>
    <n v="28"/>
    <n v="28"/>
    <n v="27"/>
    <n v="28"/>
    <n v="331"/>
    <x v="3"/>
    <d v="2026-05-24T00:00:00"/>
    <n v="1986"/>
    <n v="3"/>
    <x v="1"/>
  </r>
  <r>
    <n v="383"/>
    <n v="127183"/>
    <s v="CUSTOMER383"/>
    <x v="0"/>
    <x v="7"/>
    <x v="1"/>
    <s v="Rajasthanpatrika"/>
    <x v="2"/>
    <n v="27"/>
    <n v="27"/>
    <n v="28"/>
    <n v="28"/>
    <n v="28"/>
    <n v="27"/>
    <n v="28"/>
    <n v="28"/>
    <n v="27"/>
    <n v="27"/>
    <n v="27"/>
    <n v="28"/>
    <n v="330"/>
    <x v="6"/>
    <d v="2026-04-14T00:00:00"/>
    <n v="1980"/>
    <n v="4"/>
    <x v="1"/>
  </r>
  <r>
    <n v="384"/>
    <n v="127184"/>
    <s v="CUSTOMER384"/>
    <x v="0"/>
    <x v="9"/>
    <x v="0"/>
    <s v="DainikJagran"/>
    <x v="0"/>
    <n v="28"/>
    <n v="27"/>
    <n v="28"/>
    <n v="28"/>
    <n v="27"/>
    <n v="28"/>
    <n v="27"/>
    <n v="28"/>
    <n v="28"/>
    <n v="28"/>
    <n v="27"/>
    <n v="27"/>
    <n v="331"/>
    <x v="4"/>
    <d v="2026-01-20T00:00:00"/>
    <n v="1986"/>
    <n v="3"/>
    <x v="0"/>
  </r>
  <r>
    <n v="385"/>
    <n v="127185"/>
    <s v="CUSTOMER385"/>
    <x v="0"/>
    <x v="5"/>
    <x v="0"/>
    <s v="DainikBhaskar"/>
    <x v="2"/>
    <n v="28"/>
    <n v="27"/>
    <n v="28"/>
    <n v="28"/>
    <n v="27"/>
    <n v="27"/>
    <n v="28"/>
    <n v="27"/>
    <n v="27"/>
    <n v="28"/>
    <n v="27"/>
    <n v="28"/>
    <n v="330"/>
    <x v="8"/>
    <d v="2026-08-05T00:00:00"/>
    <n v="1980"/>
    <n v="3"/>
    <x v="1"/>
  </r>
  <r>
    <n v="386"/>
    <n v="127186"/>
    <s v="CUSTOMER386"/>
    <x v="0"/>
    <x v="7"/>
    <x v="1"/>
    <s v="Rajasthanpatrika"/>
    <x v="0"/>
    <n v="27"/>
    <n v="27"/>
    <n v="27"/>
    <n v="27"/>
    <n v="27"/>
    <n v="27"/>
    <n v="27"/>
    <n v="27"/>
    <n v="28"/>
    <n v="28"/>
    <n v="28"/>
    <n v="28"/>
    <n v="328"/>
    <x v="8"/>
    <d v="2026-08-10T00:00:00"/>
    <n v="1968"/>
    <n v="4"/>
    <x v="0"/>
  </r>
  <r>
    <n v="387"/>
    <n v="127187"/>
    <s v="CUSTOMER387"/>
    <x v="0"/>
    <x v="26"/>
    <x v="2"/>
    <s v="DainikJagran"/>
    <x v="0"/>
    <n v="27"/>
    <n v="27"/>
    <n v="27"/>
    <n v="28"/>
    <n v="28"/>
    <n v="28"/>
    <n v="28"/>
    <n v="27"/>
    <n v="27"/>
    <n v="27"/>
    <n v="28"/>
    <n v="27"/>
    <n v="329"/>
    <x v="4"/>
    <d v="2026-01-20T00:00:00"/>
    <n v="1974"/>
    <n v="4"/>
    <x v="1"/>
  </r>
  <r>
    <n v="388"/>
    <n v="127188"/>
    <s v="CUSTOMER388"/>
    <x v="1"/>
    <x v="20"/>
    <x v="3"/>
    <s v="DainikJagran"/>
    <x v="1"/>
    <n v="27"/>
    <n v="27"/>
    <n v="28"/>
    <n v="27"/>
    <n v="28"/>
    <n v="27"/>
    <n v="27"/>
    <n v="28"/>
    <n v="28"/>
    <n v="28"/>
    <n v="28"/>
    <n v="27"/>
    <n v="330"/>
    <x v="7"/>
    <d v="2026-09-06T00:00:00"/>
    <n v="1980"/>
    <n v="4"/>
    <x v="0"/>
  </r>
  <r>
    <n v="389"/>
    <n v="127189"/>
    <s v="CUSTOMER389"/>
    <x v="0"/>
    <x v="26"/>
    <x v="2"/>
    <s v="PunjabKesri"/>
    <x v="1"/>
    <n v="27"/>
    <n v="28"/>
    <n v="27"/>
    <n v="27"/>
    <n v="28"/>
    <n v="27"/>
    <n v="27"/>
    <n v="28"/>
    <n v="27"/>
    <n v="28"/>
    <n v="28"/>
    <n v="27"/>
    <n v="329"/>
    <x v="1"/>
    <d v="2026-06-07T00:00:00"/>
    <n v="1974"/>
    <n v="3"/>
    <x v="1"/>
  </r>
  <r>
    <n v="390"/>
    <n v="127190"/>
    <s v="CUSTOMER390"/>
    <x v="0"/>
    <x v="19"/>
    <x v="2"/>
    <s v="DainikJagran"/>
    <x v="1"/>
    <n v="28"/>
    <n v="27"/>
    <n v="27"/>
    <n v="27"/>
    <n v="27"/>
    <n v="28"/>
    <n v="27"/>
    <n v="27"/>
    <n v="28"/>
    <n v="28"/>
    <n v="27"/>
    <n v="28"/>
    <n v="329"/>
    <x v="5"/>
    <d v="2026-02-15T00:00:00"/>
    <n v="1974"/>
    <n v="3"/>
    <x v="1"/>
  </r>
  <r>
    <n v="391"/>
    <n v="127191"/>
    <s v="CUSTOMER391"/>
    <x v="0"/>
    <x v="26"/>
    <x v="2"/>
    <s v="PunjabKesri"/>
    <x v="1"/>
    <n v="27"/>
    <n v="27"/>
    <n v="27"/>
    <n v="28"/>
    <n v="28"/>
    <n v="28"/>
    <n v="28"/>
    <n v="28"/>
    <n v="28"/>
    <n v="27"/>
    <n v="28"/>
    <n v="28"/>
    <n v="332"/>
    <x v="5"/>
    <d v="2026-02-25T00:00:00"/>
    <n v="1992"/>
    <n v="5"/>
    <x v="0"/>
  </r>
  <r>
    <n v="392"/>
    <n v="127192"/>
    <s v="CUSTOMER392"/>
    <x v="1"/>
    <x v="13"/>
    <x v="1"/>
    <s v="DainikJagran"/>
    <x v="0"/>
    <n v="28"/>
    <n v="27"/>
    <n v="27"/>
    <n v="27"/>
    <n v="28"/>
    <n v="27"/>
    <n v="27"/>
    <n v="27"/>
    <n v="27"/>
    <n v="28"/>
    <n v="27"/>
    <n v="27"/>
    <n v="327"/>
    <x v="1"/>
    <d v="2026-06-29T00:00:00"/>
    <n v="1962"/>
    <n v="4"/>
    <x v="0"/>
  </r>
  <r>
    <n v="393"/>
    <n v="127193"/>
    <s v="CUSTOMER393"/>
    <x v="0"/>
    <x v="5"/>
    <x v="0"/>
    <s v="PunjabKesri"/>
    <x v="0"/>
    <n v="28"/>
    <n v="27"/>
    <n v="27"/>
    <n v="27"/>
    <n v="28"/>
    <n v="28"/>
    <n v="27"/>
    <n v="28"/>
    <n v="27"/>
    <n v="28"/>
    <n v="28"/>
    <n v="27"/>
    <n v="330"/>
    <x v="1"/>
    <d v="2026-06-11T00:00:00"/>
    <n v="1980"/>
    <n v="4"/>
    <x v="1"/>
  </r>
  <r>
    <n v="394"/>
    <n v="127194"/>
    <s v="CUSTOMER394"/>
    <x v="1"/>
    <x v="14"/>
    <x v="2"/>
    <s v="Rajasthanpatrika"/>
    <x v="0"/>
    <n v="28"/>
    <n v="27"/>
    <n v="28"/>
    <n v="28"/>
    <n v="27"/>
    <n v="27"/>
    <n v="28"/>
    <n v="27"/>
    <n v="28"/>
    <n v="28"/>
    <n v="27"/>
    <n v="27"/>
    <n v="330"/>
    <x v="5"/>
    <d v="2026-02-09T00:00:00"/>
    <n v="1980"/>
    <n v="4"/>
    <x v="1"/>
  </r>
  <r>
    <n v="395"/>
    <n v="127195"/>
    <s v="CUSTOMER395"/>
    <x v="1"/>
    <x v="24"/>
    <x v="2"/>
    <s v="DainikBhaskar"/>
    <x v="1"/>
    <n v="27"/>
    <n v="28"/>
    <n v="27"/>
    <n v="28"/>
    <n v="28"/>
    <n v="28"/>
    <n v="28"/>
    <n v="27"/>
    <n v="27"/>
    <n v="27"/>
    <n v="27"/>
    <n v="27"/>
    <n v="329"/>
    <x v="5"/>
    <d v="2026-02-27T00:00:00"/>
    <n v="1974"/>
    <n v="3"/>
    <x v="0"/>
  </r>
  <r>
    <n v="396"/>
    <n v="127196"/>
    <s v="CUSTOMER396"/>
    <x v="0"/>
    <x v="28"/>
    <x v="3"/>
    <s v="TheTimesofIndia"/>
    <x v="2"/>
    <n v="28"/>
    <n v="27"/>
    <n v="27"/>
    <n v="27"/>
    <n v="27"/>
    <n v="27"/>
    <n v="27"/>
    <n v="27"/>
    <n v="27"/>
    <n v="28"/>
    <n v="28"/>
    <n v="27"/>
    <n v="327"/>
    <x v="3"/>
    <d v="2026-05-03T00:00:00"/>
    <n v="1962"/>
    <n v="3"/>
    <x v="0"/>
  </r>
  <r>
    <n v="397"/>
    <n v="127197"/>
    <s v="CUSTOMER397"/>
    <x v="0"/>
    <x v="18"/>
    <x v="1"/>
    <s v="TheTimesofIndia"/>
    <x v="0"/>
    <n v="28"/>
    <n v="27"/>
    <n v="27"/>
    <n v="28"/>
    <n v="27"/>
    <n v="27"/>
    <n v="28"/>
    <n v="27"/>
    <n v="28"/>
    <n v="27"/>
    <n v="27"/>
    <n v="28"/>
    <n v="329"/>
    <x v="4"/>
    <d v="2026-01-31T00:00:00"/>
    <n v="1974"/>
    <n v="5"/>
    <x v="1"/>
  </r>
  <r>
    <n v="398"/>
    <n v="127198"/>
    <s v="CUSTOMER398"/>
    <x v="0"/>
    <x v="0"/>
    <x v="0"/>
    <s v="PunjabKesri"/>
    <x v="1"/>
    <n v="27"/>
    <n v="28"/>
    <n v="27"/>
    <n v="27"/>
    <n v="27"/>
    <n v="28"/>
    <n v="28"/>
    <n v="28"/>
    <n v="28"/>
    <n v="27"/>
    <n v="27"/>
    <n v="28"/>
    <n v="330"/>
    <x v="0"/>
    <d v="2026-03-24T00:00:00"/>
    <n v="1980"/>
    <n v="5"/>
    <x v="0"/>
  </r>
  <r>
    <n v="399"/>
    <n v="127199"/>
    <s v="CUSTOMER399"/>
    <x v="0"/>
    <x v="16"/>
    <x v="1"/>
    <s v="Rajasthanpatrika"/>
    <x v="1"/>
    <n v="28"/>
    <n v="27"/>
    <n v="27"/>
    <n v="28"/>
    <n v="27"/>
    <n v="27"/>
    <n v="28"/>
    <n v="28"/>
    <n v="28"/>
    <n v="27"/>
    <n v="28"/>
    <n v="28"/>
    <n v="331"/>
    <x v="8"/>
    <d v="2026-08-02T00:00:00"/>
    <n v="1986"/>
    <n v="4"/>
    <x v="0"/>
  </r>
  <r>
    <n v="400"/>
    <n v="127200"/>
    <s v="CUSTOMER400"/>
    <x v="0"/>
    <x v="12"/>
    <x v="1"/>
    <s v="Rajasthanpatrika"/>
    <x v="2"/>
    <n v="27"/>
    <n v="28"/>
    <n v="28"/>
    <n v="28"/>
    <n v="27"/>
    <n v="28"/>
    <n v="28"/>
    <n v="28"/>
    <n v="27"/>
    <n v="27"/>
    <n v="28"/>
    <n v="28"/>
    <n v="332"/>
    <x v="0"/>
    <d v="2026-03-28T00:00:00"/>
    <n v="1992"/>
    <n v="5"/>
    <x v="1"/>
  </r>
  <r>
    <n v="401"/>
    <n v="127201"/>
    <s v="CUSTOMER401"/>
    <x v="0"/>
    <x v="29"/>
    <x v="3"/>
    <s v="Rajasthanpatrika"/>
    <x v="1"/>
    <n v="27"/>
    <n v="28"/>
    <n v="27"/>
    <n v="27"/>
    <n v="27"/>
    <n v="28"/>
    <n v="27"/>
    <n v="27"/>
    <n v="28"/>
    <n v="27"/>
    <n v="27"/>
    <n v="28"/>
    <n v="328"/>
    <x v="0"/>
    <d v="2026-03-22T00:00:00"/>
    <n v="1968"/>
    <n v="5"/>
    <x v="0"/>
  </r>
  <r>
    <n v="402"/>
    <n v="127202"/>
    <s v="CUSTOMER402"/>
    <x v="0"/>
    <x v="25"/>
    <x v="3"/>
    <s v="PunjabKesri"/>
    <x v="1"/>
    <n v="27"/>
    <n v="27"/>
    <n v="28"/>
    <n v="27"/>
    <n v="27"/>
    <n v="27"/>
    <n v="28"/>
    <n v="28"/>
    <n v="28"/>
    <n v="28"/>
    <n v="27"/>
    <n v="27"/>
    <n v="329"/>
    <x v="4"/>
    <d v="2026-01-21T00:00:00"/>
    <n v="1974"/>
    <n v="5"/>
    <x v="0"/>
  </r>
  <r>
    <n v="403"/>
    <n v="127203"/>
    <s v="CUSTOMER403"/>
    <x v="0"/>
    <x v="24"/>
    <x v="2"/>
    <s v="DainikJagran"/>
    <x v="2"/>
    <n v="27"/>
    <n v="28"/>
    <n v="28"/>
    <n v="27"/>
    <n v="27"/>
    <n v="27"/>
    <n v="27"/>
    <n v="28"/>
    <n v="28"/>
    <n v="28"/>
    <n v="28"/>
    <n v="27"/>
    <n v="330"/>
    <x v="4"/>
    <d v="2026-01-20T00:00:00"/>
    <n v="1980"/>
    <n v="5"/>
    <x v="0"/>
  </r>
  <r>
    <n v="404"/>
    <n v="127204"/>
    <s v="CUSTOMER404"/>
    <x v="1"/>
    <x v="23"/>
    <x v="2"/>
    <s v="PunjabKesri"/>
    <x v="1"/>
    <n v="28"/>
    <n v="28"/>
    <n v="28"/>
    <n v="28"/>
    <n v="28"/>
    <n v="27"/>
    <n v="28"/>
    <n v="28"/>
    <n v="27"/>
    <n v="27"/>
    <n v="27"/>
    <n v="28"/>
    <n v="332"/>
    <x v="7"/>
    <d v="2026-09-03T00:00:00"/>
    <n v="1992"/>
    <n v="4"/>
    <x v="0"/>
  </r>
  <r>
    <n v="405"/>
    <n v="127205"/>
    <s v="CUSTOMER405"/>
    <x v="0"/>
    <x v="25"/>
    <x v="3"/>
    <s v="TheTimesofIndia"/>
    <x v="1"/>
    <n v="27"/>
    <n v="28"/>
    <n v="28"/>
    <n v="28"/>
    <n v="27"/>
    <n v="27"/>
    <n v="28"/>
    <n v="28"/>
    <n v="27"/>
    <n v="27"/>
    <n v="28"/>
    <n v="27"/>
    <n v="330"/>
    <x v="1"/>
    <d v="2026-06-24T00:00:00"/>
    <n v="1980"/>
    <n v="4"/>
    <x v="1"/>
  </r>
  <r>
    <n v="406"/>
    <n v="127206"/>
    <s v="CUSTOMER406"/>
    <x v="1"/>
    <x v="12"/>
    <x v="1"/>
    <s v="DainikBhaskar"/>
    <x v="2"/>
    <n v="27"/>
    <n v="28"/>
    <n v="28"/>
    <n v="28"/>
    <n v="27"/>
    <n v="27"/>
    <n v="28"/>
    <n v="28"/>
    <n v="27"/>
    <n v="27"/>
    <n v="28"/>
    <n v="28"/>
    <n v="331"/>
    <x v="8"/>
    <d v="2026-08-20T00:00:00"/>
    <n v="1986"/>
    <n v="5"/>
    <x v="0"/>
  </r>
  <r>
    <n v="407"/>
    <n v="127207"/>
    <s v="CUSTOMER407"/>
    <x v="1"/>
    <x v="1"/>
    <x v="0"/>
    <s v="PunjabKesri"/>
    <x v="2"/>
    <n v="28"/>
    <n v="28"/>
    <n v="28"/>
    <n v="27"/>
    <n v="28"/>
    <n v="28"/>
    <n v="27"/>
    <n v="27"/>
    <n v="28"/>
    <n v="27"/>
    <n v="28"/>
    <n v="28"/>
    <n v="332"/>
    <x v="7"/>
    <d v="2026-09-11T00:00:00"/>
    <n v="1992"/>
    <n v="5"/>
    <x v="1"/>
  </r>
  <r>
    <n v="408"/>
    <n v="127208"/>
    <s v="CUSTOMER408"/>
    <x v="0"/>
    <x v="26"/>
    <x v="2"/>
    <s v="TheTimesofIndia"/>
    <x v="0"/>
    <n v="27"/>
    <n v="27"/>
    <n v="28"/>
    <n v="27"/>
    <n v="28"/>
    <n v="28"/>
    <n v="27"/>
    <n v="27"/>
    <n v="28"/>
    <n v="28"/>
    <n v="28"/>
    <n v="27"/>
    <n v="330"/>
    <x v="2"/>
    <d v="2026-07-22T00:00:00"/>
    <n v="1980"/>
    <n v="3"/>
    <x v="0"/>
  </r>
  <r>
    <n v="409"/>
    <n v="127209"/>
    <s v="CUSTOMER409"/>
    <x v="0"/>
    <x v="19"/>
    <x v="2"/>
    <s v="PunjabKesri"/>
    <x v="1"/>
    <n v="28"/>
    <n v="28"/>
    <n v="28"/>
    <n v="28"/>
    <n v="27"/>
    <n v="28"/>
    <n v="27"/>
    <n v="28"/>
    <n v="27"/>
    <n v="27"/>
    <n v="28"/>
    <n v="28"/>
    <n v="332"/>
    <x v="5"/>
    <d v="2026-02-15T00:00:00"/>
    <n v="1992"/>
    <n v="5"/>
    <x v="1"/>
  </r>
  <r>
    <n v="410"/>
    <n v="127210"/>
    <s v="CUSTOMER410"/>
    <x v="0"/>
    <x v="32"/>
    <x v="1"/>
    <s v="DainikJagran"/>
    <x v="1"/>
    <n v="28"/>
    <n v="28"/>
    <n v="28"/>
    <n v="27"/>
    <n v="28"/>
    <n v="27"/>
    <n v="27"/>
    <n v="28"/>
    <n v="28"/>
    <n v="28"/>
    <n v="27"/>
    <n v="28"/>
    <n v="332"/>
    <x v="8"/>
    <d v="2026-08-19T00:00:00"/>
    <n v="1992"/>
    <n v="4"/>
    <x v="1"/>
  </r>
  <r>
    <n v="411"/>
    <n v="127211"/>
    <s v="CUSTOMER411"/>
    <x v="0"/>
    <x v="19"/>
    <x v="2"/>
    <s v="Rajasthanpatrika"/>
    <x v="1"/>
    <n v="27"/>
    <n v="28"/>
    <n v="27"/>
    <n v="28"/>
    <n v="28"/>
    <n v="28"/>
    <n v="28"/>
    <n v="28"/>
    <n v="28"/>
    <n v="28"/>
    <n v="27"/>
    <n v="28"/>
    <n v="333"/>
    <x v="2"/>
    <d v="2026-07-31T00:00:00"/>
    <n v="1998"/>
    <n v="4"/>
    <x v="0"/>
  </r>
  <r>
    <n v="412"/>
    <n v="127212"/>
    <s v="CUSTOMER412"/>
    <x v="0"/>
    <x v="16"/>
    <x v="1"/>
    <s v="DainikJagran"/>
    <x v="2"/>
    <n v="28"/>
    <n v="27"/>
    <n v="27"/>
    <n v="27"/>
    <n v="28"/>
    <n v="27"/>
    <n v="28"/>
    <n v="28"/>
    <n v="27"/>
    <n v="27"/>
    <n v="28"/>
    <n v="28"/>
    <n v="330"/>
    <x v="4"/>
    <d v="2026-01-18T00:00:00"/>
    <n v="1980"/>
    <n v="5"/>
    <x v="1"/>
  </r>
  <r>
    <n v="413"/>
    <n v="127213"/>
    <s v="CUSTOMER413"/>
    <x v="0"/>
    <x v="30"/>
    <x v="2"/>
    <s v="TheTimesofIndia"/>
    <x v="1"/>
    <n v="28"/>
    <n v="27"/>
    <n v="28"/>
    <n v="28"/>
    <n v="27"/>
    <n v="28"/>
    <n v="27"/>
    <n v="28"/>
    <n v="27"/>
    <n v="28"/>
    <n v="28"/>
    <n v="28"/>
    <n v="332"/>
    <x v="0"/>
    <d v="2026-03-23T00:00:00"/>
    <n v="1992"/>
    <n v="5"/>
    <x v="1"/>
  </r>
  <r>
    <n v="414"/>
    <n v="127214"/>
    <s v="CUSTOMER414"/>
    <x v="0"/>
    <x v="8"/>
    <x v="0"/>
    <s v="DainikJagran"/>
    <x v="2"/>
    <n v="27"/>
    <n v="28"/>
    <n v="27"/>
    <n v="28"/>
    <n v="28"/>
    <n v="28"/>
    <n v="28"/>
    <n v="27"/>
    <n v="27"/>
    <n v="28"/>
    <n v="27"/>
    <n v="28"/>
    <n v="331"/>
    <x v="0"/>
    <d v="2026-03-15T00:00:00"/>
    <n v="1986"/>
    <n v="3"/>
    <x v="0"/>
  </r>
  <r>
    <n v="415"/>
    <n v="127215"/>
    <s v="CUSTOMER415"/>
    <x v="1"/>
    <x v="7"/>
    <x v="1"/>
    <s v="TheTimesofIndia"/>
    <x v="0"/>
    <n v="28"/>
    <n v="28"/>
    <n v="27"/>
    <n v="27"/>
    <n v="27"/>
    <n v="28"/>
    <n v="27"/>
    <n v="27"/>
    <n v="28"/>
    <n v="27"/>
    <n v="28"/>
    <n v="28"/>
    <n v="330"/>
    <x v="7"/>
    <d v="2026-09-28T00:00:00"/>
    <n v="1980"/>
    <n v="4"/>
    <x v="0"/>
  </r>
  <r>
    <n v="416"/>
    <n v="127216"/>
    <s v="CUSTOMER416"/>
    <x v="1"/>
    <x v="6"/>
    <x v="0"/>
    <s v="PunjabKesri"/>
    <x v="0"/>
    <n v="28"/>
    <n v="27"/>
    <n v="27"/>
    <n v="28"/>
    <n v="27"/>
    <n v="27"/>
    <n v="27"/>
    <n v="28"/>
    <n v="28"/>
    <n v="28"/>
    <n v="27"/>
    <n v="28"/>
    <n v="330"/>
    <x v="7"/>
    <d v="2026-09-16T00:00:00"/>
    <n v="1980"/>
    <n v="4"/>
    <x v="1"/>
  </r>
  <r>
    <n v="417"/>
    <n v="127217"/>
    <s v="CUSTOMER417"/>
    <x v="0"/>
    <x v="18"/>
    <x v="1"/>
    <s v="DainikBhaskar"/>
    <x v="0"/>
    <n v="27"/>
    <n v="27"/>
    <n v="28"/>
    <n v="27"/>
    <n v="28"/>
    <n v="27"/>
    <n v="27"/>
    <n v="27"/>
    <n v="27"/>
    <n v="28"/>
    <n v="27"/>
    <n v="27"/>
    <n v="327"/>
    <x v="8"/>
    <d v="2026-08-30T00:00:00"/>
    <n v="1962"/>
    <n v="3"/>
    <x v="1"/>
  </r>
  <r>
    <n v="418"/>
    <n v="127218"/>
    <s v="CUSTOMER418"/>
    <x v="0"/>
    <x v="25"/>
    <x v="3"/>
    <s v="Rajasthanpatrika"/>
    <x v="0"/>
    <n v="27"/>
    <n v="27"/>
    <n v="27"/>
    <n v="28"/>
    <n v="28"/>
    <n v="27"/>
    <n v="28"/>
    <n v="28"/>
    <n v="27"/>
    <n v="27"/>
    <n v="27"/>
    <n v="27"/>
    <n v="328"/>
    <x v="2"/>
    <d v="2026-07-28T00:00:00"/>
    <n v="1968"/>
    <n v="3"/>
    <x v="0"/>
  </r>
  <r>
    <n v="419"/>
    <n v="127219"/>
    <s v="CUSTOMER419"/>
    <x v="0"/>
    <x v="10"/>
    <x v="2"/>
    <s v="Rajasthanpatrika"/>
    <x v="0"/>
    <n v="28"/>
    <n v="27"/>
    <n v="27"/>
    <n v="28"/>
    <n v="27"/>
    <n v="27"/>
    <n v="27"/>
    <n v="28"/>
    <n v="28"/>
    <n v="27"/>
    <n v="28"/>
    <n v="27"/>
    <n v="329"/>
    <x v="2"/>
    <d v="2026-07-16T00:00:00"/>
    <n v="1974"/>
    <n v="4"/>
    <x v="0"/>
  </r>
  <r>
    <n v="420"/>
    <n v="127220"/>
    <s v="CUSTOMER420"/>
    <x v="0"/>
    <x v="2"/>
    <x v="1"/>
    <s v="Rajasthanpatrika"/>
    <x v="1"/>
    <n v="28"/>
    <n v="27"/>
    <n v="27"/>
    <n v="28"/>
    <n v="28"/>
    <n v="28"/>
    <n v="27"/>
    <n v="27"/>
    <n v="27"/>
    <n v="28"/>
    <n v="28"/>
    <n v="28"/>
    <n v="331"/>
    <x v="8"/>
    <d v="2026-08-16T00:00:00"/>
    <n v="1986"/>
    <n v="5"/>
    <x v="0"/>
  </r>
  <r>
    <n v="421"/>
    <n v="127221"/>
    <s v="CUSTOMER421"/>
    <x v="0"/>
    <x v="5"/>
    <x v="0"/>
    <s v="DainikJagran"/>
    <x v="0"/>
    <n v="28"/>
    <n v="28"/>
    <n v="27"/>
    <n v="28"/>
    <n v="28"/>
    <n v="27"/>
    <n v="27"/>
    <n v="28"/>
    <n v="27"/>
    <n v="28"/>
    <n v="27"/>
    <n v="27"/>
    <n v="330"/>
    <x v="3"/>
    <d v="2026-05-31T00:00:00"/>
    <n v="1980"/>
    <n v="5"/>
    <x v="0"/>
  </r>
  <r>
    <n v="422"/>
    <n v="127222"/>
    <s v="CUSTOMER422"/>
    <x v="1"/>
    <x v="25"/>
    <x v="3"/>
    <s v="DainikBhaskar"/>
    <x v="2"/>
    <n v="27"/>
    <n v="28"/>
    <n v="27"/>
    <n v="28"/>
    <n v="27"/>
    <n v="27"/>
    <n v="27"/>
    <n v="28"/>
    <n v="27"/>
    <n v="28"/>
    <n v="27"/>
    <n v="27"/>
    <n v="328"/>
    <x v="4"/>
    <d v="2026-01-30T00:00:00"/>
    <n v="1968"/>
    <n v="5"/>
    <x v="1"/>
  </r>
  <r>
    <n v="423"/>
    <n v="127223"/>
    <s v="CUSTOMER423"/>
    <x v="0"/>
    <x v="6"/>
    <x v="0"/>
    <s v="DainikJagran"/>
    <x v="0"/>
    <n v="27"/>
    <n v="28"/>
    <n v="27"/>
    <n v="28"/>
    <n v="28"/>
    <n v="27"/>
    <n v="27"/>
    <n v="27"/>
    <n v="28"/>
    <n v="27"/>
    <n v="28"/>
    <n v="27"/>
    <n v="329"/>
    <x v="4"/>
    <d v="2026-01-18T00:00:00"/>
    <n v="1974"/>
    <n v="4"/>
    <x v="0"/>
  </r>
  <r>
    <n v="424"/>
    <n v="127224"/>
    <s v="CUSTOMER424"/>
    <x v="0"/>
    <x v="15"/>
    <x v="1"/>
    <s v="PunjabKesri"/>
    <x v="0"/>
    <n v="28"/>
    <n v="28"/>
    <n v="27"/>
    <n v="28"/>
    <n v="27"/>
    <n v="28"/>
    <n v="28"/>
    <n v="28"/>
    <n v="27"/>
    <n v="28"/>
    <n v="28"/>
    <n v="27"/>
    <n v="332"/>
    <x v="8"/>
    <d v="2026-08-24T00:00:00"/>
    <n v="1992"/>
    <n v="5"/>
    <x v="0"/>
  </r>
  <r>
    <n v="425"/>
    <n v="127225"/>
    <s v="CUSTOMER425"/>
    <x v="0"/>
    <x v="24"/>
    <x v="2"/>
    <s v="Rajasthanpatrika"/>
    <x v="1"/>
    <n v="28"/>
    <n v="28"/>
    <n v="27"/>
    <n v="28"/>
    <n v="28"/>
    <n v="27"/>
    <n v="28"/>
    <n v="27"/>
    <n v="28"/>
    <n v="27"/>
    <n v="28"/>
    <n v="27"/>
    <n v="331"/>
    <x v="0"/>
    <d v="2026-03-13T00:00:00"/>
    <n v="1986"/>
    <n v="4"/>
    <x v="1"/>
  </r>
  <r>
    <n v="426"/>
    <n v="127226"/>
    <s v="CUSTOMER426"/>
    <x v="1"/>
    <x v="2"/>
    <x v="1"/>
    <s v="PunjabKesri"/>
    <x v="1"/>
    <n v="28"/>
    <n v="27"/>
    <n v="27"/>
    <n v="27"/>
    <n v="27"/>
    <n v="28"/>
    <n v="28"/>
    <n v="27"/>
    <n v="28"/>
    <n v="28"/>
    <n v="27"/>
    <n v="27"/>
    <n v="329"/>
    <x v="2"/>
    <d v="2026-07-27T00:00:00"/>
    <n v="1974"/>
    <n v="3"/>
    <x v="1"/>
  </r>
  <r>
    <n v="427"/>
    <n v="127227"/>
    <s v="CUSTOMER427"/>
    <x v="0"/>
    <x v="15"/>
    <x v="1"/>
    <s v="TheTimesofIndia"/>
    <x v="2"/>
    <n v="27"/>
    <n v="28"/>
    <n v="28"/>
    <n v="28"/>
    <n v="27"/>
    <n v="27"/>
    <n v="28"/>
    <n v="28"/>
    <n v="28"/>
    <n v="28"/>
    <n v="28"/>
    <n v="28"/>
    <n v="333"/>
    <x v="7"/>
    <d v="2026-09-13T00:00:00"/>
    <n v="1998"/>
    <n v="3"/>
    <x v="1"/>
  </r>
  <r>
    <n v="428"/>
    <n v="127228"/>
    <s v="CUSTOMER428"/>
    <x v="1"/>
    <x v="22"/>
    <x v="1"/>
    <s v="TheTimesofIndia"/>
    <x v="2"/>
    <n v="27"/>
    <n v="27"/>
    <n v="27"/>
    <n v="27"/>
    <n v="28"/>
    <n v="28"/>
    <n v="27"/>
    <n v="28"/>
    <n v="27"/>
    <n v="28"/>
    <n v="27"/>
    <n v="27"/>
    <n v="328"/>
    <x v="3"/>
    <d v="2026-05-13T00:00:00"/>
    <n v="1968"/>
    <n v="3"/>
    <x v="0"/>
  </r>
  <r>
    <n v="429"/>
    <n v="127229"/>
    <s v="CUSTOMER429"/>
    <x v="1"/>
    <x v="32"/>
    <x v="1"/>
    <s v="PunjabKesri"/>
    <x v="1"/>
    <n v="28"/>
    <n v="28"/>
    <n v="28"/>
    <n v="27"/>
    <n v="27"/>
    <n v="28"/>
    <n v="27"/>
    <n v="27"/>
    <n v="28"/>
    <n v="27"/>
    <n v="28"/>
    <n v="28"/>
    <n v="331"/>
    <x v="2"/>
    <d v="2026-07-24T00:00:00"/>
    <n v="1986"/>
    <n v="4"/>
    <x v="1"/>
  </r>
  <r>
    <n v="430"/>
    <n v="127230"/>
    <s v="CUSTOMER430"/>
    <x v="0"/>
    <x v="7"/>
    <x v="1"/>
    <s v="DainikJagran"/>
    <x v="1"/>
    <n v="28"/>
    <n v="28"/>
    <n v="27"/>
    <n v="27"/>
    <n v="27"/>
    <n v="27"/>
    <n v="27"/>
    <n v="28"/>
    <n v="27"/>
    <n v="27"/>
    <n v="27"/>
    <n v="28"/>
    <n v="328"/>
    <x v="1"/>
    <d v="2026-06-05T00:00:00"/>
    <n v="1968"/>
    <n v="4"/>
    <x v="1"/>
  </r>
  <r>
    <n v="431"/>
    <n v="127231"/>
    <s v="CUSTOMER431"/>
    <x v="0"/>
    <x v="7"/>
    <x v="1"/>
    <s v="DainikJagran"/>
    <x v="1"/>
    <n v="27"/>
    <n v="28"/>
    <n v="28"/>
    <n v="28"/>
    <n v="28"/>
    <n v="28"/>
    <n v="27"/>
    <n v="28"/>
    <n v="27"/>
    <n v="28"/>
    <n v="28"/>
    <n v="28"/>
    <n v="333"/>
    <x v="0"/>
    <d v="2026-03-28T00:00:00"/>
    <n v="1998"/>
    <n v="3"/>
    <x v="0"/>
  </r>
  <r>
    <n v="432"/>
    <n v="127232"/>
    <s v="CUSTOMER432"/>
    <x v="0"/>
    <x v="14"/>
    <x v="2"/>
    <s v="Rajasthanpatrika"/>
    <x v="2"/>
    <n v="28"/>
    <n v="28"/>
    <n v="27"/>
    <n v="28"/>
    <n v="27"/>
    <n v="28"/>
    <n v="27"/>
    <n v="28"/>
    <n v="28"/>
    <n v="27"/>
    <n v="27"/>
    <n v="27"/>
    <n v="330"/>
    <x v="0"/>
    <d v="2026-03-12T00:00:00"/>
    <n v="1980"/>
    <n v="4"/>
    <x v="0"/>
  </r>
  <r>
    <n v="433"/>
    <n v="127233"/>
    <s v="CUSTOMER433"/>
    <x v="0"/>
    <x v="24"/>
    <x v="2"/>
    <s v="PunjabKesri"/>
    <x v="2"/>
    <n v="28"/>
    <n v="28"/>
    <n v="28"/>
    <n v="27"/>
    <n v="27"/>
    <n v="27"/>
    <n v="28"/>
    <n v="27"/>
    <n v="27"/>
    <n v="27"/>
    <n v="27"/>
    <n v="28"/>
    <n v="329"/>
    <x v="0"/>
    <d v="2026-03-19T00:00:00"/>
    <n v="1974"/>
    <n v="3"/>
    <x v="1"/>
  </r>
  <r>
    <n v="434"/>
    <n v="127234"/>
    <s v="CUSTOMER434"/>
    <x v="0"/>
    <x v="16"/>
    <x v="1"/>
    <s v="DainikBhaskar"/>
    <x v="2"/>
    <n v="27"/>
    <n v="28"/>
    <n v="27"/>
    <n v="27"/>
    <n v="27"/>
    <n v="27"/>
    <n v="28"/>
    <n v="27"/>
    <n v="27"/>
    <n v="27"/>
    <n v="27"/>
    <n v="27"/>
    <n v="326"/>
    <x v="7"/>
    <d v="2026-09-15T00:00:00"/>
    <n v="1956"/>
    <n v="5"/>
    <x v="1"/>
  </r>
  <r>
    <n v="435"/>
    <n v="127235"/>
    <s v="CUSTOMER435"/>
    <x v="0"/>
    <x v="20"/>
    <x v="3"/>
    <s v="DainikJagran"/>
    <x v="2"/>
    <n v="28"/>
    <n v="27"/>
    <n v="28"/>
    <n v="28"/>
    <n v="28"/>
    <n v="28"/>
    <n v="27"/>
    <n v="27"/>
    <n v="28"/>
    <n v="27"/>
    <n v="27"/>
    <n v="27"/>
    <n v="330"/>
    <x v="1"/>
    <d v="2026-06-20T00:00:00"/>
    <n v="1980"/>
    <n v="5"/>
    <x v="1"/>
  </r>
  <r>
    <n v="436"/>
    <n v="127236"/>
    <s v="CUSTOMER436"/>
    <x v="0"/>
    <x v="7"/>
    <x v="1"/>
    <s v="Rajasthanpatrika"/>
    <x v="2"/>
    <n v="27"/>
    <n v="28"/>
    <n v="28"/>
    <n v="27"/>
    <n v="28"/>
    <n v="27"/>
    <n v="27"/>
    <n v="28"/>
    <n v="27"/>
    <n v="27"/>
    <n v="28"/>
    <n v="28"/>
    <n v="330"/>
    <x v="7"/>
    <d v="2026-09-28T00:00:00"/>
    <n v="1980"/>
    <n v="4"/>
    <x v="1"/>
  </r>
  <r>
    <n v="437"/>
    <n v="127237"/>
    <s v="CUSTOMER437"/>
    <x v="1"/>
    <x v="31"/>
    <x v="2"/>
    <s v="Rajasthanpatrika"/>
    <x v="2"/>
    <n v="28"/>
    <n v="27"/>
    <n v="27"/>
    <n v="27"/>
    <n v="28"/>
    <n v="27"/>
    <n v="27"/>
    <n v="28"/>
    <n v="28"/>
    <n v="28"/>
    <n v="27"/>
    <n v="28"/>
    <n v="330"/>
    <x v="7"/>
    <d v="2026-09-05T00:00:00"/>
    <n v="1980"/>
    <n v="4"/>
    <x v="1"/>
  </r>
  <r>
    <n v="438"/>
    <n v="127238"/>
    <s v="CUSTOMER438"/>
    <x v="1"/>
    <x v="32"/>
    <x v="1"/>
    <s v="DainikJagran"/>
    <x v="2"/>
    <n v="28"/>
    <n v="27"/>
    <n v="28"/>
    <n v="27"/>
    <n v="27"/>
    <n v="27"/>
    <n v="28"/>
    <n v="28"/>
    <n v="27"/>
    <n v="27"/>
    <n v="28"/>
    <n v="27"/>
    <n v="329"/>
    <x v="3"/>
    <d v="2026-05-01T00:00:00"/>
    <n v="1974"/>
    <n v="4"/>
    <x v="0"/>
  </r>
  <r>
    <n v="439"/>
    <n v="127239"/>
    <s v="CUSTOMER439"/>
    <x v="0"/>
    <x v="29"/>
    <x v="3"/>
    <s v="TheTimesofIndia"/>
    <x v="0"/>
    <n v="27"/>
    <n v="28"/>
    <n v="27"/>
    <n v="28"/>
    <n v="27"/>
    <n v="27"/>
    <n v="28"/>
    <n v="28"/>
    <n v="28"/>
    <n v="28"/>
    <n v="27"/>
    <n v="28"/>
    <n v="331"/>
    <x v="1"/>
    <d v="2026-06-07T00:00:00"/>
    <n v="1986"/>
    <n v="3"/>
    <x v="0"/>
  </r>
  <r>
    <n v="440"/>
    <n v="127240"/>
    <s v="CUSTOMER440"/>
    <x v="0"/>
    <x v="19"/>
    <x v="2"/>
    <s v="PunjabKesri"/>
    <x v="0"/>
    <n v="28"/>
    <n v="27"/>
    <n v="28"/>
    <n v="27"/>
    <n v="28"/>
    <n v="28"/>
    <n v="28"/>
    <n v="27"/>
    <n v="28"/>
    <n v="27"/>
    <n v="27"/>
    <n v="27"/>
    <n v="330"/>
    <x v="2"/>
    <d v="2026-07-22T00:00:00"/>
    <n v="1980"/>
    <n v="4"/>
    <x v="0"/>
  </r>
  <r>
    <n v="441"/>
    <n v="127241"/>
    <s v="CUSTOMER441"/>
    <x v="0"/>
    <x v="18"/>
    <x v="1"/>
    <s v="TheTimesofIndia"/>
    <x v="1"/>
    <n v="27"/>
    <n v="27"/>
    <n v="27"/>
    <n v="28"/>
    <n v="27"/>
    <n v="27"/>
    <n v="28"/>
    <n v="28"/>
    <n v="27"/>
    <n v="27"/>
    <n v="27"/>
    <n v="28"/>
    <n v="328"/>
    <x v="6"/>
    <d v="2026-04-23T00:00:00"/>
    <n v="1968"/>
    <n v="4"/>
    <x v="1"/>
  </r>
  <r>
    <n v="442"/>
    <n v="127242"/>
    <s v="CUSTOMER442"/>
    <x v="0"/>
    <x v="8"/>
    <x v="0"/>
    <s v="PunjabKesri"/>
    <x v="2"/>
    <n v="28"/>
    <n v="28"/>
    <n v="28"/>
    <n v="28"/>
    <n v="28"/>
    <n v="28"/>
    <n v="27"/>
    <n v="28"/>
    <n v="27"/>
    <n v="28"/>
    <n v="28"/>
    <n v="28"/>
    <n v="334"/>
    <x v="3"/>
    <d v="2026-05-11T00:00:00"/>
    <n v="2004"/>
    <n v="3"/>
    <x v="1"/>
  </r>
  <r>
    <n v="443"/>
    <n v="127243"/>
    <s v="CUSTOMER443"/>
    <x v="0"/>
    <x v="23"/>
    <x v="2"/>
    <s v="DainikJagran"/>
    <x v="0"/>
    <n v="27"/>
    <n v="27"/>
    <n v="27"/>
    <n v="28"/>
    <n v="28"/>
    <n v="27"/>
    <n v="28"/>
    <n v="27"/>
    <n v="28"/>
    <n v="27"/>
    <n v="27"/>
    <n v="27"/>
    <n v="328"/>
    <x v="4"/>
    <d v="2026-01-18T00:00:00"/>
    <n v="1968"/>
    <n v="5"/>
    <x v="1"/>
  </r>
  <r>
    <n v="444"/>
    <n v="127244"/>
    <s v="CUSTOMER444"/>
    <x v="1"/>
    <x v="2"/>
    <x v="1"/>
    <s v="PunjabKesri"/>
    <x v="1"/>
    <n v="28"/>
    <n v="27"/>
    <n v="28"/>
    <n v="28"/>
    <n v="28"/>
    <n v="28"/>
    <n v="28"/>
    <n v="27"/>
    <n v="28"/>
    <n v="28"/>
    <n v="27"/>
    <n v="28"/>
    <n v="333"/>
    <x v="3"/>
    <d v="2026-05-16T00:00:00"/>
    <n v="1998"/>
    <n v="4"/>
    <x v="1"/>
  </r>
  <r>
    <n v="445"/>
    <n v="127245"/>
    <s v="CUSTOMER445"/>
    <x v="0"/>
    <x v="3"/>
    <x v="0"/>
    <s v="DainikJagran"/>
    <x v="0"/>
    <n v="27"/>
    <n v="28"/>
    <n v="27"/>
    <n v="27"/>
    <n v="27"/>
    <n v="27"/>
    <n v="28"/>
    <n v="27"/>
    <n v="28"/>
    <n v="28"/>
    <n v="27"/>
    <n v="27"/>
    <n v="328"/>
    <x v="4"/>
    <d v="2026-01-12T00:00:00"/>
    <n v="1968"/>
    <n v="5"/>
    <x v="1"/>
  </r>
  <r>
    <n v="446"/>
    <n v="127246"/>
    <s v="CUSTOMER446"/>
    <x v="0"/>
    <x v="18"/>
    <x v="1"/>
    <s v="TheTimesofIndia"/>
    <x v="0"/>
    <n v="27"/>
    <n v="27"/>
    <n v="27"/>
    <n v="27"/>
    <n v="28"/>
    <n v="27"/>
    <n v="28"/>
    <n v="28"/>
    <n v="27"/>
    <n v="28"/>
    <n v="27"/>
    <n v="27"/>
    <n v="328"/>
    <x v="6"/>
    <d v="2026-04-21T00:00:00"/>
    <n v="1968"/>
    <n v="3"/>
    <x v="0"/>
  </r>
  <r>
    <n v="447"/>
    <n v="127247"/>
    <s v="CUSTOMER447"/>
    <x v="0"/>
    <x v="27"/>
    <x v="2"/>
    <s v="Rajasthanpatrika"/>
    <x v="0"/>
    <n v="28"/>
    <n v="27"/>
    <n v="28"/>
    <n v="27"/>
    <n v="28"/>
    <n v="27"/>
    <n v="27"/>
    <n v="28"/>
    <n v="28"/>
    <n v="27"/>
    <n v="28"/>
    <n v="28"/>
    <n v="331"/>
    <x v="8"/>
    <d v="2026-08-08T00:00:00"/>
    <n v="1986"/>
    <n v="4"/>
    <x v="1"/>
  </r>
  <r>
    <n v="448"/>
    <n v="127248"/>
    <s v="CUSTOMER448"/>
    <x v="1"/>
    <x v="15"/>
    <x v="1"/>
    <s v="PunjabKesri"/>
    <x v="1"/>
    <n v="27"/>
    <n v="27"/>
    <n v="28"/>
    <n v="27"/>
    <n v="27"/>
    <n v="27"/>
    <n v="27"/>
    <n v="28"/>
    <n v="28"/>
    <n v="27"/>
    <n v="27"/>
    <n v="28"/>
    <n v="328"/>
    <x v="6"/>
    <d v="2026-04-25T00:00:00"/>
    <n v="1968"/>
    <n v="3"/>
    <x v="0"/>
  </r>
  <r>
    <n v="449"/>
    <n v="127249"/>
    <s v="CUSTOMER449"/>
    <x v="0"/>
    <x v="3"/>
    <x v="0"/>
    <s v="DainikBhaskar"/>
    <x v="0"/>
    <n v="27"/>
    <n v="27"/>
    <n v="27"/>
    <n v="28"/>
    <n v="28"/>
    <n v="28"/>
    <n v="28"/>
    <n v="27"/>
    <n v="28"/>
    <n v="27"/>
    <n v="27"/>
    <n v="28"/>
    <n v="330"/>
    <x v="4"/>
    <d v="2026-01-14T00:00:00"/>
    <n v="1980"/>
    <n v="4"/>
    <x v="0"/>
  </r>
  <r>
    <n v="450"/>
    <n v="127250"/>
    <s v="CUSTOMER450"/>
    <x v="1"/>
    <x v="1"/>
    <x v="0"/>
    <s v="TheTimesofIndia"/>
    <x v="1"/>
    <n v="28"/>
    <n v="28"/>
    <n v="28"/>
    <n v="28"/>
    <n v="28"/>
    <n v="28"/>
    <n v="28"/>
    <n v="27"/>
    <n v="27"/>
    <n v="27"/>
    <n v="28"/>
    <n v="28"/>
    <n v="333"/>
    <x v="0"/>
    <d v="2026-03-01T00:00:00"/>
    <n v="1998"/>
    <n v="3"/>
    <x v="1"/>
  </r>
  <r>
    <n v="451"/>
    <n v="127251"/>
    <s v="CUSTOMER451"/>
    <x v="1"/>
    <x v="25"/>
    <x v="3"/>
    <s v="TheTimesofIndia"/>
    <x v="0"/>
    <n v="27"/>
    <n v="27"/>
    <n v="28"/>
    <n v="27"/>
    <n v="28"/>
    <n v="27"/>
    <n v="28"/>
    <n v="28"/>
    <n v="27"/>
    <n v="27"/>
    <n v="27"/>
    <n v="28"/>
    <n v="329"/>
    <x v="0"/>
    <d v="2026-03-14T00:00:00"/>
    <n v="1974"/>
    <n v="3"/>
    <x v="1"/>
  </r>
  <r>
    <n v="452"/>
    <n v="127252"/>
    <s v="CUSTOMER452"/>
    <x v="0"/>
    <x v="30"/>
    <x v="2"/>
    <s v="TheTimesofIndia"/>
    <x v="0"/>
    <n v="28"/>
    <n v="28"/>
    <n v="28"/>
    <n v="27"/>
    <n v="28"/>
    <n v="28"/>
    <n v="27"/>
    <n v="28"/>
    <n v="28"/>
    <n v="27"/>
    <n v="28"/>
    <n v="27"/>
    <n v="332"/>
    <x v="4"/>
    <d v="2026-01-30T00:00:00"/>
    <n v="1992"/>
    <n v="5"/>
    <x v="0"/>
  </r>
  <r>
    <n v="453"/>
    <n v="127253"/>
    <s v="CUSTOMER453"/>
    <x v="0"/>
    <x v="22"/>
    <x v="1"/>
    <s v="TheTimesofIndia"/>
    <x v="2"/>
    <n v="28"/>
    <n v="27"/>
    <n v="27"/>
    <n v="28"/>
    <n v="28"/>
    <n v="28"/>
    <n v="27"/>
    <n v="28"/>
    <n v="28"/>
    <n v="28"/>
    <n v="28"/>
    <n v="28"/>
    <n v="333"/>
    <x v="8"/>
    <d v="2026-08-16T00:00:00"/>
    <n v="1998"/>
    <n v="5"/>
    <x v="0"/>
  </r>
  <r>
    <n v="454"/>
    <n v="127254"/>
    <s v="CUSTOMER454"/>
    <x v="0"/>
    <x v="17"/>
    <x v="1"/>
    <s v="DainikBhaskar"/>
    <x v="1"/>
    <n v="27"/>
    <n v="28"/>
    <n v="28"/>
    <n v="27"/>
    <n v="28"/>
    <n v="28"/>
    <n v="27"/>
    <n v="28"/>
    <n v="27"/>
    <n v="27"/>
    <n v="28"/>
    <n v="28"/>
    <n v="331"/>
    <x v="3"/>
    <d v="2026-05-08T00:00:00"/>
    <n v="1986"/>
    <n v="3"/>
    <x v="1"/>
  </r>
  <r>
    <n v="455"/>
    <n v="127255"/>
    <s v="CUSTOMER455"/>
    <x v="0"/>
    <x v="2"/>
    <x v="1"/>
    <s v="DainikJagran"/>
    <x v="0"/>
    <n v="27"/>
    <n v="27"/>
    <n v="27"/>
    <n v="27"/>
    <n v="27"/>
    <n v="27"/>
    <n v="27"/>
    <n v="27"/>
    <n v="27"/>
    <n v="27"/>
    <n v="28"/>
    <n v="28"/>
    <n v="326"/>
    <x v="7"/>
    <d v="2026-09-26T00:00:00"/>
    <n v="1956"/>
    <n v="4"/>
    <x v="1"/>
  </r>
  <r>
    <n v="456"/>
    <n v="127256"/>
    <s v="CUSTOMER456"/>
    <x v="0"/>
    <x v="14"/>
    <x v="2"/>
    <s v="TheTimesofIndia"/>
    <x v="2"/>
    <n v="28"/>
    <n v="27"/>
    <n v="28"/>
    <n v="28"/>
    <n v="27"/>
    <n v="28"/>
    <n v="27"/>
    <n v="27"/>
    <n v="27"/>
    <n v="27"/>
    <n v="27"/>
    <n v="28"/>
    <n v="329"/>
    <x v="7"/>
    <d v="2026-09-14T00:00:00"/>
    <n v="1974"/>
    <n v="3"/>
    <x v="1"/>
  </r>
  <r>
    <n v="457"/>
    <n v="127257"/>
    <s v="CUSTOMER457"/>
    <x v="0"/>
    <x v="14"/>
    <x v="2"/>
    <s v="PunjabKesri"/>
    <x v="1"/>
    <n v="27"/>
    <n v="27"/>
    <n v="28"/>
    <n v="27"/>
    <n v="27"/>
    <n v="27"/>
    <n v="28"/>
    <n v="27"/>
    <n v="27"/>
    <n v="28"/>
    <n v="27"/>
    <n v="27"/>
    <n v="327"/>
    <x v="0"/>
    <d v="2026-03-13T00:00:00"/>
    <n v="1962"/>
    <n v="5"/>
    <x v="0"/>
  </r>
  <r>
    <n v="458"/>
    <n v="127258"/>
    <s v="CUSTOMER458"/>
    <x v="0"/>
    <x v="5"/>
    <x v="0"/>
    <s v="PunjabKesri"/>
    <x v="1"/>
    <n v="27"/>
    <n v="27"/>
    <n v="27"/>
    <n v="28"/>
    <n v="27"/>
    <n v="28"/>
    <n v="27"/>
    <n v="27"/>
    <n v="27"/>
    <n v="27"/>
    <n v="28"/>
    <n v="28"/>
    <n v="328"/>
    <x v="3"/>
    <d v="2026-05-03T00:00:00"/>
    <n v="1968"/>
    <n v="5"/>
    <x v="1"/>
  </r>
  <r>
    <n v="459"/>
    <n v="127259"/>
    <s v="CUSTOMER459"/>
    <x v="1"/>
    <x v="30"/>
    <x v="2"/>
    <s v="Rajasthanpatrika"/>
    <x v="0"/>
    <n v="28"/>
    <n v="27"/>
    <n v="27"/>
    <n v="28"/>
    <n v="28"/>
    <n v="27"/>
    <n v="28"/>
    <n v="28"/>
    <n v="28"/>
    <n v="27"/>
    <n v="28"/>
    <n v="28"/>
    <n v="332"/>
    <x v="0"/>
    <d v="2026-03-15T00:00:00"/>
    <n v="1992"/>
    <n v="3"/>
    <x v="1"/>
  </r>
  <r>
    <n v="460"/>
    <n v="127260"/>
    <s v="CUSTOMER460"/>
    <x v="1"/>
    <x v="17"/>
    <x v="1"/>
    <s v="DainikJagran"/>
    <x v="2"/>
    <n v="28"/>
    <n v="27"/>
    <n v="27"/>
    <n v="27"/>
    <n v="27"/>
    <n v="28"/>
    <n v="28"/>
    <n v="27"/>
    <n v="27"/>
    <n v="28"/>
    <n v="28"/>
    <n v="28"/>
    <n v="330"/>
    <x v="2"/>
    <d v="2026-07-06T00:00:00"/>
    <n v="1980"/>
    <n v="3"/>
    <x v="0"/>
  </r>
  <r>
    <n v="461"/>
    <n v="127261"/>
    <s v="CUSTOMER461"/>
    <x v="0"/>
    <x v="6"/>
    <x v="0"/>
    <s v="PunjabKesri"/>
    <x v="1"/>
    <n v="28"/>
    <n v="27"/>
    <n v="28"/>
    <n v="28"/>
    <n v="28"/>
    <n v="28"/>
    <n v="27"/>
    <n v="27"/>
    <n v="28"/>
    <n v="28"/>
    <n v="27"/>
    <n v="28"/>
    <n v="332"/>
    <x v="1"/>
    <d v="2026-06-11T00:00:00"/>
    <n v="1992"/>
    <n v="5"/>
    <x v="1"/>
  </r>
  <r>
    <n v="462"/>
    <n v="127262"/>
    <s v="CUSTOMER462"/>
    <x v="0"/>
    <x v="7"/>
    <x v="1"/>
    <s v="DainikBhaskar"/>
    <x v="2"/>
    <n v="27"/>
    <n v="28"/>
    <n v="27"/>
    <n v="28"/>
    <n v="28"/>
    <n v="27"/>
    <n v="28"/>
    <n v="27"/>
    <n v="28"/>
    <n v="28"/>
    <n v="28"/>
    <n v="27"/>
    <n v="331"/>
    <x v="3"/>
    <d v="2026-05-19T00:00:00"/>
    <n v="1986"/>
    <n v="3"/>
    <x v="1"/>
  </r>
  <r>
    <n v="463"/>
    <n v="127263"/>
    <s v="CUSTOMER463"/>
    <x v="0"/>
    <x v="28"/>
    <x v="3"/>
    <s v="TheTimesofIndia"/>
    <x v="2"/>
    <n v="27"/>
    <n v="28"/>
    <n v="28"/>
    <n v="28"/>
    <n v="27"/>
    <n v="27"/>
    <n v="28"/>
    <n v="28"/>
    <n v="27"/>
    <n v="27"/>
    <n v="28"/>
    <n v="28"/>
    <n v="331"/>
    <x v="5"/>
    <d v="2026-02-11T00:00:00"/>
    <n v="1986"/>
    <n v="4"/>
    <x v="0"/>
  </r>
  <r>
    <n v="464"/>
    <n v="127264"/>
    <s v="CUSTOMER464"/>
    <x v="0"/>
    <x v="18"/>
    <x v="1"/>
    <s v="PunjabKesri"/>
    <x v="2"/>
    <n v="28"/>
    <n v="27"/>
    <n v="27"/>
    <n v="28"/>
    <n v="28"/>
    <n v="27"/>
    <n v="28"/>
    <n v="28"/>
    <n v="28"/>
    <n v="27"/>
    <n v="27"/>
    <n v="27"/>
    <n v="330"/>
    <x v="5"/>
    <d v="2026-02-15T00:00:00"/>
    <n v="1980"/>
    <n v="4"/>
    <x v="0"/>
  </r>
  <r>
    <n v="465"/>
    <n v="127265"/>
    <s v="CUSTOMER465"/>
    <x v="0"/>
    <x v="1"/>
    <x v="0"/>
    <s v="PunjabKesri"/>
    <x v="0"/>
    <n v="28"/>
    <n v="28"/>
    <n v="27"/>
    <n v="28"/>
    <n v="28"/>
    <n v="28"/>
    <n v="27"/>
    <n v="27"/>
    <n v="27"/>
    <n v="28"/>
    <n v="27"/>
    <n v="27"/>
    <n v="330"/>
    <x v="3"/>
    <d v="2026-05-24T00:00:00"/>
    <n v="1980"/>
    <n v="4"/>
    <x v="0"/>
  </r>
  <r>
    <n v="466"/>
    <n v="127266"/>
    <s v="CUSTOMER466"/>
    <x v="1"/>
    <x v="24"/>
    <x v="2"/>
    <s v="PunjabKesri"/>
    <x v="1"/>
    <n v="28"/>
    <n v="28"/>
    <n v="27"/>
    <n v="27"/>
    <n v="27"/>
    <n v="28"/>
    <n v="28"/>
    <n v="27"/>
    <n v="27"/>
    <n v="28"/>
    <n v="28"/>
    <n v="27"/>
    <n v="330"/>
    <x v="6"/>
    <d v="2026-04-09T00:00:00"/>
    <n v="1980"/>
    <n v="5"/>
    <x v="1"/>
  </r>
  <r>
    <n v="467"/>
    <n v="127267"/>
    <s v="CUSTOMER467"/>
    <x v="0"/>
    <x v="11"/>
    <x v="2"/>
    <s v="PunjabKesri"/>
    <x v="2"/>
    <n v="27"/>
    <n v="28"/>
    <n v="28"/>
    <n v="28"/>
    <n v="27"/>
    <n v="27"/>
    <n v="27"/>
    <n v="27"/>
    <n v="27"/>
    <n v="28"/>
    <n v="28"/>
    <n v="27"/>
    <n v="329"/>
    <x v="2"/>
    <d v="2026-07-04T00:00:00"/>
    <n v="1974"/>
    <n v="4"/>
    <x v="0"/>
  </r>
  <r>
    <n v="468"/>
    <n v="127268"/>
    <s v="CUSTOMER468"/>
    <x v="0"/>
    <x v="16"/>
    <x v="1"/>
    <s v="Rajasthanpatrika"/>
    <x v="1"/>
    <n v="27"/>
    <n v="27"/>
    <n v="28"/>
    <n v="27"/>
    <n v="27"/>
    <n v="28"/>
    <n v="28"/>
    <n v="27"/>
    <n v="27"/>
    <n v="28"/>
    <n v="27"/>
    <n v="28"/>
    <n v="329"/>
    <x v="8"/>
    <d v="2026-08-11T00:00:00"/>
    <n v="1974"/>
    <n v="5"/>
    <x v="1"/>
  </r>
  <r>
    <n v="469"/>
    <n v="127269"/>
    <s v="CUSTOMER469"/>
    <x v="0"/>
    <x v="13"/>
    <x v="1"/>
    <s v="PunjabKesri"/>
    <x v="0"/>
    <n v="28"/>
    <n v="28"/>
    <n v="27"/>
    <n v="28"/>
    <n v="28"/>
    <n v="27"/>
    <n v="27"/>
    <n v="28"/>
    <n v="27"/>
    <n v="27"/>
    <n v="28"/>
    <n v="28"/>
    <n v="331"/>
    <x v="5"/>
    <d v="2026-02-18T00:00:00"/>
    <n v="1986"/>
    <n v="3"/>
    <x v="0"/>
  </r>
  <r>
    <n v="470"/>
    <n v="127270"/>
    <s v="CUSTOMER470"/>
    <x v="1"/>
    <x v="15"/>
    <x v="1"/>
    <s v="TheTimesofIndia"/>
    <x v="2"/>
    <n v="27"/>
    <n v="27"/>
    <n v="27"/>
    <n v="28"/>
    <n v="28"/>
    <n v="28"/>
    <n v="27"/>
    <n v="28"/>
    <n v="27"/>
    <n v="28"/>
    <n v="28"/>
    <n v="27"/>
    <n v="330"/>
    <x v="6"/>
    <d v="2026-04-06T00:00:00"/>
    <n v="1980"/>
    <n v="3"/>
    <x v="0"/>
  </r>
  <r>
    <n v="471"/>
    <n v="127271"/>
    <s v="CUSTOMER471"/>
    <x v="0"/>
    <x v="32"/>
    <x v="1"/>
    <s v="DainikJagran"/>
    <x v="0"/>
    <n v="27"/>
    <n v="28"/>
    <n v="28"/>
    <n v="27"/>
    <n v="28"/>
    <n v="27"/>
    <n v="27"/>
    <n v="28"/>
    <n v="28"/>
    <n v="28"/>
    <n v="28"/>
    <n v="27"/>
    <n v="331"/>
    <x v="3"/>
    <d v="2026-05-07T00:00:00"/>
    <n v="1986"/>
    <n v="3"/>
    <x v="1"/>
  </r>
  <r>
    <n v="472"/>
    <n v="127272"/>
    <s v="CUSTOMER472"/>
    <x v="1"/>
    <x v="29"/>
    <x v="3"/>
    <s v="PunjabKesri"/>
    <x v="1"/>
    <n v="28"/>
    <n v="27"/>
    <n v="27"/>
    <n v="28"/>
    <n v="27"/>
    <n v="27"/>
    <n v="27"/>
    <n v="27"/>
    <n v="28"/>
    <n v="28"/>
    <n v="27"/>
    <n v="28"/>
    <n v="329"/>
    <x v="1"/>
    <d v="2026-06-22T00:00:00"/>
    <n v="1974"/>
    <n v="4"/>
    <x v="1"/>
  </r>
  <r>
    <n v="473"/>
    <n v="127273"/>
    <s v="CUSTOMER473"/>
    <x v="1"/>
    <x v="26"/>
    <x v="2"/>
    <s v="Rajasthanpatrika"/>
    <x v="0"/>
    <n v="27"/>
    <n v="27"/>
    <n v="27"/>
    <n v="28"/>
    <n v="28"/>
    <n v="28"/>
    <n v="27"/>
    <n v="28"/>
    <n v="28"/>
    <n v="28"/>
    <n v="28"/>
    <n v="28"/>
    <n v="332"/>
    <x v="7"/>
    <d v="2026-09-07T00:00:00"/>
    <n v="1992"/>
    <n v="4"/>
    <x v="0"/>
  </r>
  <r>
    <n v="474"/>
    <n v="127274"/>
    <s v="CUSTOMER474"/>
    <x v="0"/>
    <x v="15"/>
    <x v="1"/>
    <s v="DainikJagran"/>
    <x v="2"/>
    <n v="28"/>
    <n v="28"/>
    <n v="27"/>
    <n v="27"/>
    <n v="27"/>
    <n v="27"/>
    <n v="28"/>
    <n v="27"/>
    <n v="28"/>
    <n v="28"/>
    <n v="27"/>
    <n v="27"/>
    <n v="329"/>
    <x v="1"/>
    <d v="2026-06-07T00:00:00"/>
    <n v="1974"/>
    <n v="5"/>
    <x v="1"/>
  </r>
  <r>
    <n v="475"/>
    <n v="127275"/>
    <s v="CUSTOMER475"/>
    <x v="0"/>
    <x v="24"/>
    <x v="2"/>
    <s v="DainikJagran"/>
    <x v="2"/>
    <n v="27"/>
    <n v="28"/>
    <n v="28"/>
    <n v="28"/>
    <n v="28"/>
    <n v="27"/>
    <n v="28"/>
    <n v="27"/>
    <n v="27"/>
    <n v="27"/>
    <n v="27"/>
    <n v="28"/>
    <n v="330"/>
    <x v="5"/>
    <d v="2026-02-02T00:00:00"/>
    <n v="1980"/>
    <n v="3"/>
    <x v="0"/>
  </r>
  <r>
    <n v="476"/>
    <n v="127276"/>
    <s v="CUSTOMER476"/>
    <x v="0"/>
    <x v="28"/>
    <x v="3"/>
    <s v="DainikBhaskar"/>
    <x v="2"/>
    <n v="28"/>
    <n v="28"/>
    <n v="28"/>
    <n v="27"/>
    <n v="28"/>
    <n v="28"/>
    <n v="28"/>
    <n v="28"/>
    <n v="28"/>
    <n v="28"/>
    <n v="27"/>
    <n v="27"/>
    <n v="333"/>
    <x v="6"/>
    <d v="2026-04-28T00:00:00"/>
    <n v="1998"/>
    <n v="5"/>
    <x v="1"/>
  </r>
  <r>
    <n v="477"/>
    <n v="127277"/>
    <s v="CUSTOMER477"/>
    <x v="0"/>
    <x v="12"/>
    <x v="1"/>
    <s v="DainikBhaskar"/>
    <x v="2"/>
    <n v="27"/>
    <n v="27"/>
    <n v="27"/>
    <n v="27"/>
    <n v="28"/>
    <n v="28"/>
    <n v="28"/>
    <n v="27"/>
    <n v="28"/>
    <n v="28"/>
    <n v="28"/>
    <n v="28"/>
    <n v="331"/>
    <x v="4"/>
    <d v="2026-01-20T00:00:00"/>
    <n v="1986"/>
    <n v="4"/>
    <x v="0"/>
  </r>
  <r>
    <n v="478"/>
    <n v="127278"/>
    <s v="CUSTOMER478"/>
    <x v="0"/>
    <x v="17"/>
    <x v="1"/>
    <s v="Rajasthanpatrika"/>
    <x v="1"/>
    <n v="27"/>
    <n v="28"/>
    <n v="28"/>
    <n v="28"/>
    <n v="28"/>
    <n v="27"/>
    <n v="27"/>
    <n v="28"/>
    <n v="28"/>
    <n v="27"/>
    <n v="28"/>
    <n v="27"/>
    <n v="331"/>
    <x v="8"/>
    <d v="2026-08-01T00:00:00"/>
    <n v="1986"/>
    <n v="5"/>
    <x v="0"/>
  </r>
  <r>
    <n v="479"/>
    <n v="127279"/>
    <s v="CUSTOMER479"/>
    <x v="0"/>
    <x v="22"/>
    <x v="1"/>
    <s v="TheTimesofIndia"/>
    <x v="1"/>
    <n v="27"/>
    <n v="28"/>
    <n v="28"/>
    <n v="28"/>
    <n v="28"/>
    <n v="27"/>
    <n v="28"/>
    <n v="27"/>
    <n v="27"/>
    <n v="27"/>
    <n v="28"/>
    <n v="27"/>
    <n v="330"/>
    <x v="6"/>
    <d v="2026-04-21T00:00:00"/>
    <n v="1980"/>
    <n v="3"/>
    <x v="1"/>
  </r>
  <r>
    <n v="480"/>
    <n v="127280"/>
    <s v="CUSTOMER480"/>
    <x v="0"/>
    <x v="11"/>
    <x v="2"/>
    <s v="DainikBhaskar"/>
    <x v="0"/>
    <n v="28"/>
    <n v="27"/>
    <n v="28"/>
    <n v="27"/>
    <n v="27"/>
    <n v="27"/>
    <n v="28"/>
    <n v="28"/>
    <n v="28"/>
    <n v="28"/>
    <n v="28"/>
    <n v="28"/>
    <n v="332"/>
    <x v="0"/>
    <d v="2026-03-06T00:00:00"/>
    <n v="1992"/>
    <n v="3"/>
    <x v="1"/>
  </r>
  <r>
    <n v="481"/>
    <n v="127281"/>
    <s v="CUSTOMER481"/>
    <x v="1"/>
    <x v="32"/>
    <x v="1"/>
    <s v="DainikBhaskar"/>
    <x v="0"/>
    <n v="27"/>
    <n v="27"/>
    <n v="28"/>
    <n v="27"/>
    <n v="27"/>
    <n v="28"/>
    <n v="28"/>
    <n v="27"/>
    <n v="27"/>
    <n v="28"/>
    <n v="27"/>
    <n v="28"/>
    <n v="329"/>
    <x v="2"/>
    <d v="2026-07-01T00:00:00"/>
    <n v="1974"/>
    <n v="3"/>
    <x v="0"/>
  </r>
  <r>
    <n v="482"/>
    <n v="127282"/>
    <s v="CUSTOMER482"/>
    <x v="1"/>
    <x v="25"/>
    <x v="3"/>
    <s v="DainikBhaskar"/>
    <x v="0"/>
    <n v="27"/>
    <n v="28"/>
    <n v="28"/>
    <n v="28"/>
    <n v="27"/>
    <n v="27"/>
    <n v="27"/>
    <n v="27"/>
    <n v="28"/>
    <n v="27"/>
    <n v="27"/>
    <n v="28"/>
    <n v="329"/>
    <x v="6"/>
    <d v="2026-04-20T00:00:00"/>
    <n v="1974"/>
    <n v="3"/>
    <x v="0"/>
  </r>
  <r>
    <n v="483"/>
    <n v="127283"/>
    <s v="CUSTOMER483"/>
    <x v="0"/>
    <x v="27"/>
    <x v="2"/>
    <s v="DainikBhaskar"/>
    <x v="0"/>
    <n v="28"/>
    <n v="27"/>
    <n v="28"/>
    <n v="28"/>
    <n v="27"/>
    <n v="27"/>
    <n v="27"/>
    <n v="27"/>
    <n v="28"/>
    <n v="27"/>
    <n v="28"/>
    <n v="27"/>
    <n v="329"/>
    <x v="3"/>
    <d v="2026-05-06T00:00:00"/>
    <n v="1974"/>
    <n v="5"/>
    <x v="1"/>
  </r>
  <r>
    <n v="484"/>
    <n v="127284"/>
    <s v="CUSTOMER484"/>
    <x v="0"/>
    <x v="11"/>
    <x v="2"/>
    <s v="PunjabKesri"/>
    <x v="1"/>
    <n v="28"/>
    <n v="27"/>
    <n v="27"/>
    <n v="27"/>
    <n v="28"/>
    <n v="28"/>
    <n v="28"/>
    <n v="28"/>
    <n v="28"/>
    <n v="27"/>
    <n v="28"/>
    <n v="27"/>
    <n v="331"/>
    <x v="3"/>
    <d v="2026-05-25T00:00:00"/>
    <n v="1986"/>
    <n v="3"/>
    <x v="1"/>
  </r>
  <r>
    <n v="485"/>
    <n v="127285"/>
    <s v="CUSTOMER485"/>
    <x v="0"/>
    <x v="19"/>
    <x v="2"/>
    <s v="DainikBhaskar"/>
    <x v="0"/>
    <n v="28"/>
    <n v="28"/>
    <n v="28"/>
    <n v="28"/>
    <n v="27"/>
    <n v="28"/>
    <n v="28"/>
    <n v="27"/>
    <n v="28"/>
    <n v="27"/>
    <n v="28"/>
    <n v="28"/>
    <n v="333"/>
    <x v="8"/>
    <d v="2026-08-16T00:00:00"/>
    <n v="1998"/>
    <n v="5"/>
    <x v="0"/>
  </r>
  <r>
    <n v="486"/>
    <n v="127286"/>
    <s v="CUSTOMER486"/>
    <x v="0"/>
    <x v="25"/>
    <x v="3"/>
    <s v="Rajasthanpatrika"/>
    <x v="2"/>
    <n v="28"/>
    <n v="27"/>
    <n v="27"/>
    <n v="27"/>
    <n v="27"/>
    <n v="28"/>
    <n v="28"/>
    <n v="27"/>
    <n v="28"/>
    <n v="28"/>
    <n v="28"/>
    <n v="27"/>
    <n v="330"/>
    <x v="2"/>
    <d v="2026-07-23T00:00:00"/>
    <n v="1980"/>
    <n v="4"/>
    <x v="0"/>
  </r>
  <r>
    <n v="487"/>
    <n v="127287"/>
    <s v="CUSTOMER487"/>
    <x v="0"/>
    <x v="12"/>
    <x v="1"/>
    <s v="TheTimesofIndia"/>
    <x v="0"/>
    <n v="28"/>
    <n v="27"/>
    <n v="27"/>
    <n v="27"/>
    <n v="27"/>
    <n v="27"/>
    <n v="28"/>
    <n v="27"/>
    <n v="28"/>
    <n v="28"/>
    <n v="27"/>
    <n v="27"/>
    <n v="328"/>
    <x v="6"/>
    <d v="2026-04-01T00:00:00"/>
    <n v="1968"/>
    <n v="3"/>
    <x v="0"/>
  </r>
  <r>
    <n v="488"/>
    <n v="127288"/>
    <s v="CUSTOMER488"/>
    <x v="1"/>
    <x v="17"/>
    <x v="1"/>
    <s v="TheTimesofIndia"/>
    <x v="2"/>
    <n v="28"/>
    <n v="27"/>
    <n v="28"/>
    <n v="28"/>
    <n v="28"/>
    <n v="27"/>
    <n v="27"/>
    <n v="27"/>
    <n v="28"/>
    <n v="28"/>
    <n v="28"/>
    <n v="28"/>
    <n v="332"/>
    <x v="2"/>
    <d v="2026-07-28T00:00:00"/>
    <n v="1992"/>
    <n v="5"/>
    <x v="0"/>
  </r>
  <r>
    <n v="489"/>
    <n v="127289"/>
    <s v="CUSTOMER489"/>
    <x v="0"/>
    <x v="19"/>
    <x v="2"/>
    <s v="DainikBhaskar"/>
    <x v="2"/>
    <n v="28"/>
    <n v="27"/>
    <n v="28"/>
    <n v="28"/>
    <n v="28"/>
    <n v="27"/>
    <n v="28"/>
    <n v="28"/>
    <n v="27"/>
    <n v="27"/>
    <n v="28"/>
    <n v="27"/>
    <n v="331"/>
    <x v="1"/>
    <d v="2026-06-21T00:00:00"/>
    <n v="1986"/>
    <n v="5"/>
    <x v="0"/>
  </r>
  <r>
    <n v="490"/>
    <n v="127290"/>
    <s v="CUSTOMER490"/>
    <x v="0"/>
    <x v="1"/>
    <x v="0"/>
    <s v="DainikJagran"/>
    <x v="0"/>
    <n v="27"/>
    <n v="27"/>
    <n v="28"/>
    <n v="28"/>
    <n v="27"/>
    <n v="28"/>
    <n v="27"/>
    <n v="27"/>
    <n v="28"/>
    <n v="27"/>
    <n v="27"/>
    <n v="27"/>
    <n v="328"/>
    <x v="8"/>
    <d v="2026-08-13T00:00:00"/>
    <n v="1968"/>
    <n v="4"/>
    <x v="0"/>
  </r>
  <r>
    <n v="491"/>
    <n v="127291"/>
    <s v="CUSTOMER491"/>
    <x v="0"/>
    <x v="23"/>
    <x v="2"/>
    <s v="TheTimesofIndia"/>
    <x v="2"/>
    <n v="27"/>
    <n v="28"/>
    <n v="27"/>
    <n v="27"/>
    <n v="27"/>
    <n v="27"/>
    <n v="27"/>
    <n v="28"/>
    <n v="28"/>
    <n v="28"/>
    <n v="28"/>
    <n v="28"/>
    <n v="330"/>
    <x v="4"/>
    <d v="2026-01-28T00:00:00"/>
    <n v="1980"/>
    <n v="3"/>
    <x v="0"/>
  </r>
  <r>
    <n v="492"/>
    <n v="127292"/>
    <s v="CUSTOMER492"/>
    <x v="1"/>
    <x v="10"/>
    <x v="2"/>
    <s v="TheTimesofIndia"/>
    <x v="2"/>
    <n v="27"/>
    <n v="28"/>
    <n v="28"/>
    <n v="28"/>
    <n v="27"/>
    <n v="28"/>
    <n v="28"/>
    <n v="28"/>
    <n v="27"/>
    <n v="27"/>
    <n v="28"/>
    <n v="28"/>
    <n v="332"/>
    <x v="7"/>
    <d v="2026-09-26T00:00:00"/>
    <n v="1992"/>
    <n v="4"/>
    <x v="0"/>
  </r>
  <r>
    <n v="493"/>
    <n v="127293"/>
    <s v="CUSTOMER493"/>
    <x v="0"/>
    <x v="2"/>
    <x v="1"/>
    <s v="DainikJagran"/>
    <x v="2"/>
    <n v="28"/>
    <n v="27"/>
    <n v="28"/>
    <n v="27"/>
    <n v="28"/>
    <n v="27"/>
    <n v="28"/>
    <n v="27"/>
    <n v="28"/>
    <n v="27"/>
    <n v="28"/>
    <n v="28"/>
    <n v="331"/>
    <x v="4"/>
    <d v="2026-01-06T00:00:00"/>
    <n v="1986"/>
    <n v="5"/>
    <x v="1"/>
  </r>
  <r>
    <n v="494"/>
    <n v="127294"/>
    <s v="CUSTOMER494"/>
    <x v="1"/>
    <x v="7"/>
    <x v="1"/>
    <s v="PunjabKesri"/>
    <x v="2"/>
    <n v="27"/>
    <n v="27"/>
    <n v="27"/>
    <n v="27"/>
    <n v="28"/>
    <n v="28"/>
    <n v="27"/>
    <n v="28"/>
    <n v="28"/>
    <n v="27"/>
    <n v="28"/>
    <n v="28"/>
    <n v="330"/>
    <x v="7"/>
    <d v="2026-09-12T00:00:00"/>
    <n v="1980"/>
    <n v="3"/>
    <x v="0"/>
  </r>
  <r>
    <n v="495"/>
    <n v="127295"/>
    <s v="CUSTOMER495"/>
    <x v="1"/>
    <x v="32"/>
    <x v="1"/>
    <s v="DainikJagran"/>
    <x v="2"/>
    <n v="28"/>
    <n v="27"/>
    <n v="27"/>
    <n v="27"/>
    <n v="28"/>
    <n v="28"/>
    <n v="27"/>
    <n v="28"/>
    <n v="28"/>
    <n v="28"/>
    <n v="28"/>
    <n v="27"/>
    <n v="331"/>
    <x v="2"/>
    <d v="2026-07-26T00:00:00"/>
    <n v="1986"/>
    <n v="5"/>
    <x v="1"/>
  </r>
  <r>
    <n v="496"/>
    <n v="127296"/>
    <s v="CUSTOMER496"/>
    <x v="0"/>
    <x v="27"/>
    <x v="2"/>
    <s v="Rajasthanpatrika"/>
    <x v="0"/>
    <n v="28"/>
    <n v="28"/>
    <n v="28"/>
    <n v="28"/>
    <n v="28"/>
    <n v="28"/>
    <n v="28"/>
    <n v="28"/>
    <n v="27"/>
    <n v="27"/>
    <n v="27"/>
    <n v="28"/>
    <n v="333"/>
    <x v="7"/>
    <d v="2026-09-30T00:00:00"/>
    <n v="1998"/>
    <n v="3"/>
    <x v="0"/>
  </r>
  <r>
    <n v="497"/>
    <n v="127297"/>
    <s v="CUSTOMER497"/>
    <x v="0"/>
    <x v="25"/>
    <x v="3"/>
    <s v="PunjabKesri"/>
    <x v="2"/>
    <n v="28"/>
    <n v="28"/>
    <n v="27"/>
    <n v="28"/>
    <n v="28"/>
    <n v="27"/>
    <n v="27"/>
    <n v="28"/>
    <n v="27"/>
    <n v="27"/>
    <n v="28"/>
    <n v="28"/>
    <n v="331"/>
    <x v="4"/>
    <d v="2026-01-23T00:00:00"/>
    <n v="1986"/>
    <n v="4"/>
    <x v="0"/>
  </r>
  <r>
    <n v="498"/>
    <n v="127298"/>
    <s v="CUSTOMER498"/>
    <x v="0"/>
    <x v="24"/>
    <x v="2"/>
    <s v="DainikBhaskar"/>
    <x v="1"/>
    <n v="27"/>
    <n v="27"/>
    <n v="28"/>
    <n v="27"/>
    <n v="27"/>
    <n v="27"/>
    <n v="28"/>
    <n v="27"/>
    <n v="27"/>
    <n v="28"/>
    <n v="27"/>
    <n v="27"/>
    <n v="327"/>
    <x v="1"/>
    <d v="2026-06-07T00:00:00"/>
    <n v="1962"/>
    <n v="5"/>
    <x v="0"/>
  </r>
  <r>
    <n v="499"/>
    <n v="127299"/>
    <s v="CUSTOMER499"/>
    <x v="0"/>
    <x v="11"/>
    <x v="2"/>
    <s v="PunjabKesri"/>
    <x v="0"/>
    <n v="28"/>
    <n v="27"/>
    <n v="28"/>
    <n v="27"/>
    <n v="28"/>
    <n v="28"/>
    <n v="27"/>
    <n v="27"/>
    <n v="27"/>
    <n v="28"/>
    <n v="28"/>
    <n v="28"/>
    <n v="331"/>
    <x v="1"/>
    <d v="2026-06-15T00:00:00"/>
    <n v="1986"/>
    <n v="5"/>
    <x v="0"/>
  </r>
  <r>
    <n v="500"/>
    <n v="127300"/>
    <s v="CUSTOMER500"/>
    <x v="0"/>
    <x v="19"/>
    <x v="2"/>
    <s v="DainikJagran"/>
    <x v="1"/>
    <n v="27"/>
    <n v="28"/>
    <n v="28"/>
    <n v="28"/>
    <n v="28"/>
    <n v="27"/>
    <n v="28"/>
    <n v="27"/>
    <n v="27"/>
    <n v="28"/>
    <n v="28"/>
    <n v="27"/>
    <n v="331"/>
    <x v="4"/>
    <d v="2026-01-12T00:00:00"/>
    <n v="1986"/>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B24AC-CF8B-45B1-9833-607A807DAF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C16" firstHeaderRow="0" firstDataRow="1" firstDataCol="1"/>
  <pivotFields count="26">
    <pivotField showAll="0"/>
    <pivotField dataField="1" showAll="0"/>
    <pivotField showAll="0"/>
    <pivotField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5"/>
        <item x="0"/>
        <item x="6"/>
        <item x="3"/>
        <item x="1"/>
        <item x="2"/>
        <item x="8"/>
        <item x="7"/>
        <item t="default"/>
      </items>
    </pivotField>
    <pivotField numFmtId="14" showAll="0"/>
    <pivotField dataField="1" showAll="0"/>
    <pivotField showAll="0"/>
    <pivotField axis="axisRow" showAll="0">
      <items count="3">
        <item x="1"/>
        <item x="0"/>
        <item t="default"/>
      </items>
    </pivotField>
  </pivotFields>
  <rowFields count="1">
    <field x="25"/>
  </rowFields>
  <rowItems count="3">
    <i>
      <x/>
    </i>
    <i>
      <x v="1"/>
    </i>
    <i t="grand">
      <x/>
    </i>
  </rowItems>
  <colFields count="1">
    <field x="-2"/>
  </colFields>
  <colItems count="2">
    <i>
      <x/>
    </i>
    <i i="1">
      <x v="1"/>
    </i>
  </colItems>
  <dataFields count="2">
    <dataField name="Count of Employe ID" fld="1" subtotal="count" baseField="0" baseItem="0"/>
    <dataField name="Sum of Bill Amount" fld="23" baseField="0" baseItem="0"/>
  </dataFields>
  <chartFormats count="6">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5" count="1" selected="0">
            <x v="0"/>
          </reference>
        </references>
      </pivotArea>
    </chartFormat>
    <chartFormat chart="11" format="10">
      <pivotArea type="data" outline="0" fieldPosition="0">
        <references count="2">
          <reference field="4294967294" count="1" selected="0">
            <x v="0"/>
          </reference>
          <reference field="25" count="1" selected="0">
            <x v="1"/>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25" count="1" selected="0">
            <x v="0"/>
          </reference>
        </references>
      </pivotArea>
    </chartFormat>
    <chartFormat chart="11" format="13">
      <pivotArea type="data" outline="0" fieldPosition="0">
        <references count="2">
          <reference field="4294967294" count="1" selected="0">
            <x v="1"/>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CB13E-C952-4F4F-9661-537515992D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C22" firstHeaderRow="0" firstDataRow="1" firstDataCol="1"/>
  <pivotFields count="26">
    <pivotField showAll="0"/>
    <pivotField dataField="1" showAll="0"/>
    <pivotField showAll="0"/>
    <pivotField axis="axisRow"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5"/>
        <item x="0"/>
        <item x="6"/>
        <item x="3"/>
        <item x="1"/>
        <item x="2"/>
        <item x="8"/>
        <item x="7"/>
        <item t="default"/>
      </items>
    </pivotField>
    <pivotField numFmtId="14" showAll="0"/>
    <pivotField dataField="1" showAll="0"/>
    <pivotField showAll="0"/>
    <pivotField showAll="0">
      <items count="3">
        <item x="1"/>
        <item x="0"/>
        <item t="default"/>
      </items>
    </pivotField>
  </pivotFields>
  <rowFields count="1">
    <field x="3"/>
  </rowFields>
  <rowItems count="3">
    <i>
      <x/>
    </i>
    <i>
      <x v="1"/>
    </i>
    <i t="grand">
      <x/>
    </i>
  </rowItems>
  <colFields count="1">
    <field x="-2"/>
  </colFields>
  <colItems count="2">
    <i>
      <x/>
    </i>
    <i i="1">
      <x v="1"/>
    </i>
  </colItems>
  <dataFields count="2">
    <dataField name="Count of Employe ID" fld="1" subtotal="count" baseField="0" baseItem="0"/>
    <dataField name="Sum of Bill Amount" fld="2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94BD04-BF8F-4E74-8E64-C6DC5FB11AE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F3:H13" firstHeaderRow="0" firstDataRow="1" firstDataCol="1"/>
  <pivotFields count="26">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0">
        <item x="4"/>
        <item x="5"/>
        <item x="0"/>
        <item x="6"/>
        <item x="3"/>
        <item x="1"/>
        <item x="2"/>
        <item x="8"/>
        <item x="7"/>
        <item t="default"/>
      </items>
    </pivotField>
    <pivotField numFmtId="14" showAll="0"/>
    <pivotField dataField="1" showAll="0"/>
    <pivotField showAll="0"/>
    <pivotField showAll="0">
      <items count="3">
        <item x="1"/>
        <item x="0"/>
        <item t="default"/>
      </items>
    </pivotField>
  </pivotFields>
  <rowFields count="1">
    <field x="21"/>
  </rowFields>
  <rowItems count="10">
    <i>
      <x/>
    </i>
    <i>
      <x v="1"/>
    </i>
    <i>
      <x v="2"/>
    </i>
    <i>
      <x v="3"/>
    </i>
    <i>
      <x v="4"/>
    </i>
    <i>
      <x v="5"/>
    </i>
    <i>
      <x v="6"/>
    </i>
    <i>
      <x v="7"/>
    </i>
    <i>
      <x v="8"/>
    </i>
    <i t="grand">
      <x/>
    </i>
  </rowItems>
  <colFields count="1">
    <field x="-2"/>
  </colFields>
  <colItems count="2">
    <i>
      <x/>
    </i>
    <i i="1">
      <x v="1"/>
    </i>
  </colItems>
  <dataFields count="2">
    <dataField name="Sum of Bill Amount" fld="23" baseField="0" baseItem="0"/>
    <dataField name="Sum of Total Newspaper" fld="20" baseField="0"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7529FE-03BC-4F98-BF47-46A4C6063E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0" firstDataRow="1" firstDataCol="1"/>
  <pivotFields count="26">
    <pivotField showAll="0"/>
    <pivotField dataField="1" showAll="0"/>
    <pivotField showAll="0"/>
    <pivotField showAll="0">
      <items count="3">
        <item x="1"/>
        <item x="0"/>
        <item t="default"/>
      </items>
    </pivotField>
    <pivotField showAll="0"/>
    <pivotField showAll="0">
      <items count="5">
        <item x="0"/>
        <item x="1"/>
        <item x="2"/>
        <item x="3"/>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0">
        <item x="4"/>
        <item x="5"/>
        <item x="0"/>
        <item x="6"/>
        <item x="3"/>
        <item x="1"/>
        <item x="2"/>
        <item x="8"/>
        <item x="7"/>
        <item t="default"/>
      </items>
    </pivotField>
    <pivotField numFmtId="14" showAll="0"/>
    <pivotField dataField="1" showAll="0"/>
    <pivotField showAll="0"/>
    <pivotField showAll="0">
      <items count="3">
        <item x="1"/>
        <item x="0"/>
        <item t="default"/>
      </items>
    </pivotField>
  </pivotFields>
  <rowFields count="1">
    <field x="7"/>
  </rowFields>
  <rowItems count="4">
    <i>
      <x/>
    </i>
    <i>
      <x v="1"/>
    </i>
    <i>
      <x v="2"/>
    </i>
    <i t="grand">
      <x/>
    </i>
  </rowItems>
  <colFields count="1">
    <field x="-2"/>
  </colFields>
  <colItems count="3">
    <i>
      <x/>
    </i>
    <i i="1">
      <x v="1"/>
    </i>
    <i i="2">
      <x v="2"/>
    </i>
  </colItems>
  <dataFields count="3">
    <dataField name="Sum of Bill Amount" fld="23" baseField="0" baseItem="0"/>
    <dataField name="Sum of Total Newspaper" fld="20" baseField="0" baseItem="0"/>
    <dataField name="Sum of Employe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9DB36-6F07-43D9-BFDF-1C3B8B1605F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6:G21" firstHeaderRow="0" firstDataRow="1" firstDataCol="1"/>
  <pivotFields count="26">
    <pivotField showAll="0"/>
    <pivotField dataField="1" showAll="0"/>
    <pivotField showAll="0"/>
    <pivotField showAll="0">
      <items count="3">
        <item x="1"/>
        <item x="0"/>
        <item t="default"/>
      </items>
    </pivotField>
    <pivotField showAll="0"/>
    <pivotField axis="axisRow"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5"/>
        <item x="0"/>
        <item x="6"/>
        <item x="3"/>
        <item x="1"/>
        <item x="2"/>
        <item x="8"/>
        <item x="7"/>
        <item t="default"/>
      </items>
    </pivotField>
    <pivotField numFmtId="14" showAll="0"/>
    <pivotField dataField="1" showAll="0"/>
    <pivotField showAll="0"/>
    <pivotField showAll="0">
      <items count="3">
        <item x="1"/>
        <item x="0"/>
        <item t="default"/>
      </items>
    </pivotField>
  </pivotFields>
  <rowFields count="1">
    <field x="5"/>
  </rowFields>
  <rowItems count="5">
    <i>
      <x/>
    </i>
    <i>
      <x v="1"/>
    </i>
    <i>
      <x v="2"/>
    </i>
    <i>
      <x v="3"/>
    </i>
    <i t="grand">
      <x/>
    </i>
  </rowItems>
  <colFields count="1">
    <field x="-2"/>
  </colFields>
  <colItems count="2">
    <i>
      <x/>
    </i>
    <i i="1">
      <x v="1"/>
    </i>
  </colItems>
  <dataFields count="2">
    <dataField name="Count of Employe ID" fld="1" subtotal="count" baseField="0" baseItem="0"/>
    <dataField name="Sum of Bill Amount" fld="23"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71D613-6655-4963-BC57-C059614A21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6">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0">
        <item x="4"/>
        <item x="5"/>
        <item x="0"/>
        <item x="6"/>
        <item x="3"/>
        <item x="1"/>
        <item x="2"/>
        <item x="8"/>
        <item x="7"/>
        <item t="default"/>
      </items>
    </pivotField>
    <pivotField numFmtId="14" showAll="0"/>
    <pivotField dataField="1" showAll="0"/>
    <pivotField dataField="1" showAll="0"/>
    <pivotField showAll="0">
      <items count="3">
        <item x="1"/>
        <item x="0"/>
        <item t="default"/>
      </items>
    </pivotField>
  </pivotFields>
  <rowItems count="1">
    <i/>
  </rowItems>
  <colFields count="1">
    <field x="-2"/>
  </colFields>
  <colItems count="4">
    <i>
      <x/>
    </i>
    <i i="1">
      <x v="1"/>
    </i>
    <i i="2">
      <x v="2"/>
    </i>
    <i i="3">
      <x v="3"/>
    </i>
  </colItems>
  <dataFields count="4">
    <dataField name="Sum of Bill Amount" fld="23" baseField="0" baseItem="0"/>
    <dataField name="Average of Rating" fld="24" subtotal="average" baseField="0" baseItem="0"/>
    <dataField name="Sum of Rating" fld="24" baseField="0" baseItem="0"/>
    <dataField name="Sum of Total Newspaper"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6F6A3E-7ACA-4061-B5C3-6A79EDE7710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E2" firstHeaderRow="0" firstDataRow="0" firstDataCol="0"/>
  <pivotFields count="26">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5"/>
        <item x="0"/>
        <item x="6"/>
        <item x="3"/>
        <item x="1"/>
        <item x="2"/>
        <item x="8"/>
        <item x="7"/>
        <item t="default"/>
      </items>
    </pivotField>
    <pivotField numFmtId="14" showAll="0"/>
    <pivotField dataField="1" showAll="0"/>
    <pivotField showAll="0"/>
    <pivotField showAll="0">
      <items count="3">
        <item x="1"/>
        <item x="0"/>
        <item t="default"/>
      </items>
    </pivotField>
  </pivotFields>
  <rowFields count="1">
    <field x="21"/>
  </rowFields>
  <rowItems count="10">
    <i>
      <x/>
    </i>
    <i>
      <x v="1"/>
    </i>
    <i>
      <x v="2"/>
    </i>
    <i>
      <x v="3"/>
    </i>
    <i>
      <x v="4"/>
    </i>
    <i>
      <x v="5"/>
    </i>
    <i>
      <x v="6"/>
    </i>
    <i>
      <x v="7"/>
    </i>
    <i>
      <x v="8"/>
    </i>
    <i t="grand">
      <x/>
    </i>
  </rowItems>
  <colItems count="1">
    <i/>
  </colItems>
  <dataFields count="1">
    <dataField name="Sum of Bill Amoun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A8079B-1B68-44ED-A51A-2F3A147A79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54:H57" firstHeaderRow="1" firstDataRow="1" firstDataCol="1"/>
  <pivotFields count="26">
    <pivotField dataField="1" showAll="0"/>
    <pivotField showAll="0"/>
    <pivotField showAll="0"/>
    <pivotField axis="axisRow" showAll="0">
      <items count="3">
        <item x="1"/>
        <item x="0"/>
        <item t="default"/>
      </items>
    </pivotField>
    <pivotField showAll="0">
      <items count="34">
        <item h="1" x="4"/>
        <item h="1" x="0"/>
        <item x="1"/>
        <item h="1" x="3"/>
        <item h="1" x="8"/>
        <item h="1" x="6"/>
        <item h="1" x="9"/>
        <item h="1" x="5"/>
        <item h="1" x="2"/>
        <item h="1" x="7"/>
        <item h="1" x="12"/>
        <item h="1" x="17"/>
        <item h="1" x="15"/>
        <item h="1" x="16"/>
        <item h="1" x="22"/>
        <item h="1" x="18"/>
        <item h="1" x="13"/>
        <item h="1" x="32"/>
        <item h="1" x="31"/>
        <item h="1" x="19"/>
        <item h="1" x="10"/>
        <item h="1" x="24"/>
        <item h="1" x="11"/>
        <item h="1" x="27"/>
        <item h="1" x="26"/>
        <item h="1" x="23"/>
        <item h="1" x="14"/>
        <item h="1" x="30"/>
        <item h="1" x="21"/>
        <item h="1" x="29"/>
        <item h="1" x="28"/>
        <item h="1" x="20"/>
        <item h="1" x="25"/>
        <item t="default"/>
      </items>
    </pivotField>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5"/>
        <item x="0"/>
        <item x="6"/>
        <item x="3"/>
        <item x="1"/>
        <item x="2"/>
        <item x="8"/>
        <item x="7"/>
        <item t="default"/>
      </items>
    </pivotField>
    <pivotField numFmtId="14" showAll="0"/>
    <pivotField showAll="0"/>
    <pivotField showAll="0"/>
    <pivotField showAll="0">
      <items count="3">
        <item x="1"/>
        <item x="0"/>
        <item t="default"/>
      </items>
    </pivotField>
  </pivotFields>
  <rowFields count="1">
    <field x="3"/>
  </rowFields>
  <rowItems count="3">
    <i>
      <x/>
    </i>
    <i>
      <x v="1"/>
    </i>
    <i t="grand">
      <x/>
    </i>
  </rowItems>
  <colItems count="1">
    <i/>
  </colItems>
  <dataFields count="1">
    <dataField name="Count of Sr. No."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6EBA92-0971-4481-A37F-3B3B49D7A3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E12" firstHeaderRow="1" firstDataRow="1" firstDataCol="1"/>
  <pivotFields count="26">
    <pivotField dataField="1" showAll="0"/>
    <pivotField showAll="0"/>
    <pivotField showAll="0"/>
    <pivotField axis="axisRow"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5"/>
        <item x="0"/>
        <item x="6"/>
        <item x="3"/>
        <item x="1"/>
        <item x="2"/>
        <item x="8"/>
        <item x="7"/>
        <item t="default"/>
      </items>
    </pivotField>
    <pivotField numFmtId="14" showAll="0"/>
    <pivotField showAll="0"/>
    <pivotField showAll="0"/>
    <pivotField showAll="0">
      <items count="3">
        <item x="1"/>
        <item x="0"/>
        <item t="default"/>
      </items>
    </pivotField>
  </pivotFields>
  <rowFields count="1">
    <field x="3"/>
  </rowFields>
  <rowItems count="3">
    <i>
      <x/>
    </i>
    <i>
      <x v="1"/>
    </i>
    <i t="grand">
      <x/>
    </i>
  </rowItems>
  <colItems count="1">
    <i/>
  </colItems>
  <dataFields count="1">
    <dataField name="Count of S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C5F29-473E-441D-947E-FDC168FF13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12" firstHeaderRow="0" firstDataRow="1" firstDataCol="1"/>
  <pivotFields count="26">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0">
        <item x="4"/>
        <item x="5"/>
        <item x="0"/>
        <item x="6"/>
        <item x="3"/>
        <item x="1"/>
        <item x="2"/>
        <item x="8"/>
        <item x="7"/>
        <item t="default"/>
      </items>
    </pivotField>
    <pivotField numFmtId="14" showAll="0"/>
    <pivotField dataField="1" showAll="0"/>
    <pivotField showAll="0"/>
    <pivotField axis="axisRow" showAll="0">
      <items count="3">
        <item x="1"/>
        <item x="0"/>
        <item t="default"/>
      </items>
    </pivotField>
  </pivotFields>
  <rowFields count="1">
    <field x="25"/>
  </rowFields>
  <rowItems count="3">
    <i>
      <x/>
    </i>
    <i>
      <x v="1"/>
    </i>
    <i t="grand">
      <x/>
    </i>
  </rowItems>
  <colFields count="1">
    <field x="-2"/>
  </colFields>
  <colItems count="2">
    <i>
      <x/>
    </i>
    <i i="1">
      <x v="1"/>
    </i>
  </colItems>
  <dataFields count="2">
    <dataField name="Sum of Bill Amount" fld="23" baseField="0" baseItem="0"/>
    <dataField name="Sum of Total Newspaper"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55F595-1916-4378-9A14-3F89069D9D7F}" sourceName="City">
  <pivotTables>
    <pivotTable tabId="11" name="PivotTable5"/>
    <pivotTable tabId="15" name="PivotTable1"/>
    <pivotTable tabId="15" name="PivotTable2"/>
    <pivotTable tabId="15" name="PivotTable3"/>
    <pivotTable tabId="15" name="PivotTable4"/>
    <pivotTable tabId="15" name="PivotTable8"/>
    <pivotTable tabId="11" name="PivotTable3"/>
    <pivotTable tabId="11" name="PivotTable4"/>
    <pivotTable tabId="11" name="PivotTable7"/>
    <pivotTable tabId="11" name="PivotTable9"/>
  </pivotTables>
  <data>
    <tabular pivotCacheId="2641474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Joining" xr10:uid="{9EC76C00-08B2-472A-93D6-D6748864303B}" sourceName="Month of Joining">
  <pivotTables>
    <pivotTable tabId="15" name="PivotTable2"/>
    <pivotTable tabId="15" name="PivotTable1"/>
    <pivotTable tabId="15" name="PivotTable3"/>
    <pivotTable tabId="11" name="PivotTable7"/>
    <pivotTable tabId="11" name="PivotTable9"/>
    <pivotTable tabId="15" name="PivotTable4"/>
    <pivotTable tabId="15" name="PivotTable8"/>
    <pivotTable tabId="11" name="PivotTable3"/>
    <pivotTable tabId="11" name="PivotTable4"/>
    <pivotTable tabId="11" name="PivotTable5"/>
  </pivotTables>
  <data>
    <tabular pivotCacheId="264147436">
      <items count="9">
        <i x="4" s="1"/>
        <i x="5" s="1"/>
        <i x="0" s="1"/>
        <i x="6" s="1"/>
        <i x="3" s="1"/>
        <i x="1" s="1"/>
        <i x="2"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DDCFEBD-01A4-449F-AFAC-4BDA6E815C4B}" sourceName="Gender">
  <pivotTables>
    <pivotTable tabId="15" name="PivotTable3"/>
    <pivotTable tabId="15" name="PivotTable1"/>
    <pivotTable tabId="15" name="PivotTable2"/>
    <pivotTable tabId="15" name="PivotTable4"/>
    <pivotTable tabId="15" name="PivotTable8"/>
    <pivotTable tabId="11" name="PivotTable3"/>
    <pivotTable tabId="11" name="PivotTable4"/>
    <pivotTable tabId="11" name="PivotTable5"/>
    <pivotTable tabId="11" name="PivotTable7"/>
    <pivotTable tabId="11" name="PivotTable9"/>
  </pivotTables>
  <data>
    <tabular pivotCacheId="26414743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3DF36F1-F456-4564-9E4B-B6B6CF3A5A4E}" sourceName="Age Group">
  <pivotTables>
    <pivotTable tabId="15" name="PivotTable8"/>
    <pivotTable tabId="15" name="PivotTable1"/>
    <pivotTable tabId="15" name="PivotTable2"/>
    <pivotTable tabId="15" name="PivotTable3"/>
    <pivotTable tabId="15" name="PivotTable4"/>
    <pivotTable tabId="11" name="PivotTable3"/>
    <pivotTable tabId="11" name="PivotTable4"/>
    <pivotTable tabId="11" name="PivotTable5"/>
    <pivotTable tabId="11" name="PivotTable7"/>
    <pivotTable tabId="11" name="PivotTable9"/>
  </pivotTables>
  <data>
    <tabular pivotCacheId="264147436">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27256AB1-7E17-4BF7-8E0C-ABC473253B19}" sourceName="Payment Mode">
  <pivotTables>
    <pivotTable tabId="15" name="PivotTable4"/>
    <pivotTable tabId="15" name="PivotTable1"/>
    <pivotTable tabId="15" name="PivotTable2"/>
    <pivotTable tabId="15" name="PivotTable3"/>
    <pivotTable tabId="15" name="PivotTable8"/>
    <pivotTable tabId="11" name="PivotTable3"/>
    <pivotTable tabId="11" name="PivotTable4"/>
    <pivotTable tabId="11" name="PivotTable5"/>
    <pivotTable tabId="11" name="PivotTable7"/>
    <pivotTable tabId="11" name="PivotTable9"/>
  </pivotTables>
  <data>
    <tabular pivotCacheId="2641474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CA271C3-55D7-425D-8507-B2D21294C5F7}" cache="Slicer_City" caption="City" style="SlicerStyleDark2" rowHeight="360000"/>
  <slicer name="Month of Joining" xr10:uid="{6C5EE0BB-D92F-4D6B-8D35-3E397BB6B8B6}" cache="Slicer_Month_of_Joining" caption="Month of Joining" columnCount="3" style="SlicerStyleDark2" rowHeight="288000"/>
  <slicer name="Gender 2" xr10:uid="{496B185E-6A49-43AE-A8F0-50B78E9E4742}" cache="Slicer_Gender1" caption="Gender" style="SlicerStyleDark2" rowHeight="324000"/>
  <slicer name="Age Group" xr10:uid="{8FBBD9EF-38ED-4F42-A2DB-5C03517082C1}" cache="Slicer_Age_Group" caption="Age Group" style="SlicerStyleDark2" rowHeight="324000"/>
  <slicer name="Payment Mode 2" xr10:uid="{B164648D-9AB0-4FC8-B749-928A60ECEF30}" cache="Slicer_Payment_Mode1" caption="Payment Mode" style="SlicerStyleDark2"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18676F4-AFF8-4476-A859-7A7EB6C444CD}"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0B4BEA-2043-4CE0-A865-FC0865C1E3ED}" name="Table1" displayName="Table1" ref="A1:Z501" totalsRowShown="0" headerRowDxfId="29" headerRowBorderDxfId="28" tableBorderDxfId="27" totalsRowBorderDxfId="26">
  <autoFilter ref="A1:Z501" xr:uid="{418D8D1C-A4F9-43F0-B7A6-9A22BA6BE0F5}"/>
  <tableColumns count="26">
    <tableColumn id="1" xr3:uid="{0FE0886E-451C-4E6B-B934-01A680FB7712}" name="Sr. No." dataDxfId="25"/>
    <tableColumn id="2" xr3:uid="{3AD6DF02-4309-4A33-B067-25490BE867CA}" name="Employe ID" dataDxfId="24"/>
    <tableColumn id="3" xr3:uid="{DAEB7FA7-91BF-4E53-B0AE-B68640BF14F5}" name="Name" dataDxfId="23"/>
    <tableColumn id="4" xr3:uid="{2F41B2FC-A58D-47AA-A0C0-2DA0C870D27F}" name="Gender" dataDxfId="22"/>
    <tableColumn id="5" xr3:uid="{C3A1887A-2CC3-4978-959F-1E35BCE1AC6D}" name="Age" dataDxfId="21"/>
    <tableColumn id="6" xr3:uid="{D1F91AC1-EBE2-417F-91B2-9D5E5CE80208}" name="Age Group" dataDxfId="20"/>
    <tableColumn id="7" xr3:uid="{52EAC966-0DBE-4F7D-8EE4-594A8A7BE329}" name="NEWSPAPER" dataDxfId="19"/>
    <tableColumn id="8" xr3:uid="{918DAEEA-8656-492B-9966-B1CF2F68A048}" name="City" dataDxfId="18"/>
    <tableColumn id="9" xr3:uid="{23D2E69A-E060-4AB7-830C-166B1172E11B}" name="Jan" dataDxfId="17"/>
    <tableColumn id="10" xr3:uid="{77BFFF32-951C-4FD7-A913-583005802CFF}" name="Feb" dataDxfId="16"/>
    <tableColumn id="11" xr3:uid="{6D450B89-E9F6-4955-B240-49A83C4942DB}" name="Mar" dataDxfId="15"/>
    <tableColumn id="12" xr3:uid="{AFA0CB13-0925-4AA6-A2E1-FCD21D4FE4D7}" name="Apr" dataDxfId="14"/>
    <tableColumn id="13" xr3:uid="{9D188A4F-6E15-492B-B103-B10C5A2F318C}" name="May" dataDxfId="13"/>
    <tableColumn id="14" xr3:uid="{55703DAE-1E8D-43C4-A9DC-4682CE1A1485}" name="Jun" dataDxfId="12"/>
    <tableColumn id="15" xr3:uid="{55FB57D3-A48C-4402-A769-E36B29516014}" name="Jul" dataDxfId="11"/>
    <tableColumn id="16" xr3:uid="{B5F838DC-B7C5-4C9A-9FA2-9C2A9FB8F3FB}" name="Aug" dataDxfId="10"/>
    <tableColumn id="17" xr3:uid="{0B42DAB7-FDC0-451A-8FA6-7D405A3A9B0F}" name="Sep" dataDxfId="9"/>
    <tableColumn id="18" xr3:uid="{78A2FE16-8FE7-4B48-A48E-9F6735C60B65}" name="Oct" dataDxfId="8"/>
    <tableColumn id="19" xr3:uid="{54536A2D-F684-4B69-87A3-2C939F0E2884}" name="Nov" dataDxfId="7"/>
    <tableColumn id="20" xr3:uid="{9A5DE39C-81BF-4645-8879-708F05459BC8}" name="Dec" dataDxfId="6"/>
    <tableColumn id="21" xr3:uid="{C13AF875-8B34-4EBF-8173-0CD2AE9B32C8}" name="Total Newspaper" dataDxfId="5"/>
    <tableColumn id="22" xr3:uid="{291968A5-31E2-4001-9B8A-DC11B7A08F37}" name="Month of Joining" dataDxfId="4"/>
    <tableColumn id="23" xr3:uid="{1923ED54-E9FD-47E4-8E08-47F47EFE0BD3}" name="Date of Joining" dataDxfId="3"/>
    <tableColumn id="24" xr3:uid="{9B785661-13EB-4545-991E-3F6920971326}" name="Bill Amount" dataDxfId="2"/>
    <tableColumn id="25" xr3:uid="{34A7BFA8-3462-4908-AFF3-CF79ADF8813E}" name="Rating" dataDxfId="1"/>
    <tableColumn id="26" xr3:uid="{4B8DB27B-8EF0-4B5D-A3C4-A6609E8248B9}" name="Payment Mod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7A68-48D4-4C88-A09E-C54A3B6E025F}">
  <dimension ref="A1"/>
  <sheetViews>
    <sheetView showGridLines="0" tabSelected="1" zoomScale="60" zoomScaleNormal="60" workbookViewId="0">
      <selection activeCell="AA15" sqref="AA15"/>
    </sheetView>
  </sheetViews>
  <sheetFormatPr defaultRowHeight="14.4" x14ac:dyDescent="0.3"/>
  <sheetData/>
  <sheetProtection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8D1C-A4F9-43F0-B7A6-9A22BA6BE0F5}">
  <dimension ref="A1:BB511"/>
  <sheetViews>
    <sheetView zoomScale="70" zoomScaleNormal="70" workbookViewId="0">
      <selection activeCell="D19" sqref="D19"/>
    </sheetView>
  </sheetViews>
  <sheetFormatPr defaultRowHeight="14.4" x14ac:dyDescent="0.3"/>
  <cols>
    <col min="1" max="1" width="9.44140625" bestFit="1" customWidth="1"/>
    <col min="2" max="2" width="13.44140625" bestFit="1" customWidth="1"/>
    <col min="3" max="3" width="13.5546875" bestFit="1" customWidth="1"/>
    <col min="4" max="4" width="10.21875" bestFit="1" customWidth="1"/>
    <col min="5" max="5" width="7.109375" bestFit="1" customWidth="1"/>
    <col min="6" max="6" width="13.44140625" bestFit="1" customWidth="1"/>
    <col min="7" max="7" width="15.5546875" bestFit="1" customWidth="1"/>
    <col min="8" max="8" width="9" bestFit="1" customWidth="1"/>
    <col min="9" max="9" width="6.5546875" bestFit="1" customWidth="1"/>
    <col min="10" max="10" width="6.88671875" bestFit="1" customWidth="1"/>
    <col min="11" max="11" width="7.109375" bestFit="1" customWidth="1"/>
    <col min="12" max="12" width="6.77734375" bestFit="1" customWidth="1"/>
    <col min="13" max="13" width="7.33203125" bestFit="1" customWidth="1"/>
    <col min="14" max="14" width="6.6640625" bestFit="1" customWidth="1"/>
    <col min="15" max="15" width="6.109375" bestFit="1" customWidth="1"/>
    <col min="16" max="16" width="7.109375" bestFit="1" customWidth="1"/>
    <col min="17" max="17" width="6.88671875" bestFit="1" customWidth="1"/>
    <col min="18" max="18" width="6.6640625" bestFit="1" customWidth="1"/>
    <col min="19" max="19" width="7.21875" bestFit="1" customWidth="1"/>
    <col min="20" max="20" width="6.88671875" bestFit="1" customWidth="1"/>
    <col min="21" max="22" width="21.21875" style="4" bestFit="1" customWidth="1"/>
    <col min="23" max="23" width="16.6640625" bestFit="1" customWidth="1"/>
    <col min="24" max="24" width="13.88671875" bestFit="1" customWidth="1"/>
    <col min="25" max="25" width="9.109375" bestFit="1" customWidth="1"/>
    <col min="26" max="26" width="17.109375" bestFit="1" customWidth="1"/>
    <col min="27" max="27" width="8.33203125" bestFit="1" customWidth="1"/>
  </cols>
  <sheetData>
    <row r="1" spans="1:54" x14ac:dyDescent="0.3">
      <c r="A1" s="16" t="s">
        <v>0</v>
      </c>
      <c r="B1" s="17" t="s">
        <v>1</v>
      </c>
      <c r="C1" s="17" t="s">
        <v>2</v>
      </c>
      <c r="D1" s="17" t="s">
        <v>3</v>
      </c>
      <c r="E1" s="17" t="s">
        <v>5</v>
      </c>
      <c r="F1" s="17" t="s">
        <v>549</v>
      </c>
      <c r="G1" s="17" t="s">
        <v>21</v>
      </c>
      <c r="H1" s="17" t="s">
        <v>22</v>
      </c>
      <c r="I1" s="18" t="s">
        <v>9</v>
      </c>
      <c r="J1" s="18" t="s">
        <v>10</v>
      </c>
      <c r="K1" s="18" t="s">
        <v>11</v>
      </c>
      <c r="L1" s="18" t="s">
        <v>12</v>
      </c>
      <c r="M1" s="18" t="s">
        <v>13</v>
      </c>
      <c r="N1" s="18" t="s">
        <v>14</v>
      </c>
      <c r="O1" s="18" t="s">
        <v>15</v>
      </c>
      <c r="P1" s="18" t="s">
        <v>16</v>
      </c>
      <c r="Q1" s="18" t="s">
        <v>17</v>
      </c>
      <c r="R1" s="18" t="s">
        <v>18</v>
      </c>
      <c r="S1" s="18" t="s">
        <v>19</v>
      </c>
      <c r="T1" s="18" t="s">
        <v>20</v>
      </c>
      <c r="U1" s="19" t="s">
        <v>23</v>
      </c>
      <c r="V1" s="19" t="s">
        <v>8</v>
      </c>
      <c r="W1" s="17" t="s">
        <v>4</v>
      </c>
      <c r="X1" s="17" t="s">
        <v>532</v>
      </c>
      <c r="Y1" s="17" t="s">
        <v>533</v>
      </c>
      <c r="Z1" s="20" t="s">
        <v>534</v>
      </c>
      <c r="AA1" s="3"/>
      <c r="AB1" s="3"/>
    </row>
    <row r="2" spans="1:54" x14ac:dyDescent="0.3">
      <c r="A2" s="14">
        <v>1</v>
      </c>
      <c r="B2" s="12">
        <v>126801</v>
      </c>
      <c r="C2" s="12" t="s">
        <v>24</v>
      </c>
      <c r="D2" s="12" t="s">
        <v>6</v>
      </c>
      <c r="E2" s="12">
        <v>19</v>
      </c>
      <c r="F2" s="12" t="s">
        <v>555</v>
      </c>
      <c r="G2" s="12" t="s">
        <v>25</v>
      </c>
      <c r="H2" s="12" t="s">
        <v>26</v>
      </c>
      <c r="I2" s="12">
        <v>27</v>
      </c>
      <c r="J2" s="12">
        <v>28</v>
      </c>
      <c r="K2" s="12">
        <v>28</v>
      </c>
      <c r="L2" s="12">
        <v>28</v>
      </c>
      <c r="M2" s="12">
        <v>28</v>
      </c>
      <c r="N2" s="12">
        <v>27</v>
      </c>
      <c r="O2" s="12">
        <v>28</v>
      </c>
      <c r="P2" s="12">
        <v>27</v>
      </c>
      <c r="Q2" s="12">
        <v>27</v>
      </c>
      <c r="R2" s="12">
        <v>28</v>
      </c>
      <c r="S2" s="12">
        <v>28</v>
      </c>
      <c r="T2" s="12">
        <v>27</v>
      </c>
      <c r="U2" s="5">
        <v>331</v>
      </c>
      <c r="V2" s="5" t="s">
        <v>11</v>
      </c>
      <c r="W2" s="13">
        <v>46112</v>
      </c>
      <c r="X2" s="12">
        <v>1986</v>
      </c>
      <c r="Y2" s="12">
        <v>5</v>
      </c>
      <c r="Z2" s="15" t="s">
        <v>535</v>
      </c>
    </row>
    <row r="3" spans="1:54" x14ac:dyDescent="0.3">
      <c r="A3" s="14">
        <v>2</v>
      </c>
      <c r="B3" s="12">
        <v>126802</v>
      </c>
      <c r="C3" s="12" t="s">
        <v>27</v>
      </c>
      <c r="D3" s="12" t="s">
        <v>6</v>
      </c>
      <c r="E3" s="12">
        <v>20</v>
      </c>
      <c r="F3" s="12" t="s">
        <v>555</v>
      </c>
      <c r="G3" s="12" t="s">
        <v>25</v>
      </c>
      <c r="H3" s="12" t="s">
        <v>28</v>
      </c>
      <c r="I3" s="12">
        <v>27</v>
      </c>
      <c r="J3" s="12">
        <v>27</v>
      </c>
      <c r="K3" s="12">
        <v>27</v>
      </c>
      <c r="L3" s="12">
        <v>28</v>
      </c>
      <c r="M3" s="12">
        <v>28</v>
      </c>
      <c r="N3" s="12">
        <v>27</v>
      </c>
      <c r="O3" s="12">
        <v>27</v>
      </c>
      <c r="P3" s="12">
        <v>28</v>
      </c>
      <c r="Q3" s="12">
        <v>27</v>
      </c>
      <c r="R3" s="12">
        <v>28</v>
      </c>
      <c r="S3" s="12">
        <v>27</v>
      </c>
      <c r="T3" s="12">
        <v>27</v>
      </c>
      <c r="U3" s="5">
        <v>328</v>
      </c>
      <c r="V3" s="5" t="s">
        <v>14</v>
      </c>
      <c r="W3" s="13">
        <v>46177</v>
      </c>
      <c r="X3" s="12">
        <v>1968</v>
      </c>
      <c r="Y3" s="12">
        <v>5</v>
      </c>
      <c r="Z3" s="15" t="s">
        <v>536</v>
      </c>
    </row>
    <row r="4" spans="1:54" x14ac:dyDescent="0.3">
      <c r="A4" s="14">
        <v>3</v>
      </c>
      <c r="B4" s="12">
        <v>126803</v>
      </c>
      <c r="C4" s="12" t="s">
        <v>29</v>
      </c>
      <c r="D4" s="12" t="s">
        <v>6</v>
      </c>
      <c r="E4" s="12">
        <v>26</v>
      </c>
      <c r="F4" s="12" t="s">
        <v>556</v>
      </c>
      <c r="G4" s="12" t="s">
        <v>30</v>
      </c>
      <c r="H4" s="12" t="s">
        <v>31</v>
      </c>
      <c r="I4" s="12">
        <v>27</v>
      </c>
      <c r="J4" s="12">
        <v>27</v>
      </c>
      <c r="K4" s="12">
        <v>28</v>
      </c>
      <c r="L4" s="12">
        <v>27</v>
      </c>
      <c r="M4" s="12">
        <v>28</v>
      </c>
      <c r="N4" s="12">
        <v>27</v>
      </c>
      <c r="O4" s="12">
        <v>27</v>
      </c>
      <c r="P4" s="12">
        <v>28</v>
      </c>
      <c r="Q4" s="12">
        <v>28</v>
      </c>
      <c r="R4" s="12">
        <v>27</v>
      </c>
      <c r="S4" s="12">
        <v>27</v>
      </c>
      <c r="T4" s="12">
        <v>28</v>
      </c>
      <c r="U4" s="5">
        <v>329</v>
      </c>
      <c r="V4" s="5" t="s">
        <v>15</v>
      </c>
      <c r="W4" s="13">
        <v>46211</v>
      </c>
      <c r="X4" s="12">
        <v>1974</v>
      </c>
      <c r="Y4" s="12">
        <v>3</v>
      </c>
      <c r="Z4" s="15" t="s">
        <v>536</v>
      </c>
    </row>
    <row r="5" spans="1:54" x14ac:dyDescent="0.3">
      <c r="A5" s="14">
        <v>4</v>
      </c>
      <c r="B5" s="12">
        <v>126804</v>
      </c>
      <c r="C5" s="12" t="s">
        <v>32</v>
      </c>
      <c r="D5" s="12" t="s">
        <v>7</v>
      </c>
      <c r="E5" s="12">
        <v>21</v>
      </c>
      <c r="F5" s="12" t="s">
        <v>555</v>
      </c>
      <c r="G5" s="12" t="s">
        <v>25</v>
      </c>
      <c r="H5" s="12" t="s">
        <v>28</v>
      </c>
      <c r="I5" s="12">
        <v>27</v>
      </c>
      <c r="J5" s="12">
        <v>27</v>
      </c>
      <c r="K5" s="12">
        <v>27</v>
      </c>
      <c r="L5" s="12">
        <v>27</v>
      </c>
      <c r="M5" s="12">
        <v>27</v>
      </c>
      <c r="N5" s="12">
        <v>27</v>
      </c>
      <c r="O5" s="12">
        <v>27</v>
      </c>
      <c r="P5" s="12">
        <v>27</v>
      </c>
      <c r="Q5" s="12">
        <v>28</v>
      </c>
      <c r="R5" s="12">
        <v>27</v>
      </c>
      <c r="S5" s="12">
        <v>28</v>
      </c>
      <c r="T5" s="12">
        <v>28</v>
      </c>
      <c r="U5" s="5">
        <v>327</v>
      </c>
      <c r="V5" s="5" t="s">
        <v>14</v>
      </c>
      <c r="W5" s="13">
        <v>46200</v>
      </c>
      <c r="X5" s="12">
        <v>1962</v>
      </c>
      <c r="Y5" s="12">
        <v>3</v>
      </c>
      <c r="Z5" s="15" t="s">
        <v>536</v>
      </c>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4" x14ac:dyDescent="0.3">
      <c r="A6" s="14">
        <v>5</v>
      </c>
      <c r="B6" s="12">
        <v>126805</v>
      </c>
      <c r="C6" s="12" t="s">
        <v>33</v>
      </c>
      <c r="D6" s="12" t="s">
        <v>6</v>
      </c>
      <c r="E6" s="12">
        <v>19</v>
      </c>
      <c r="F6" s="12" t="s">
        <v>555</v>
      </c>
      <c r="G6" s="12" t="s">
        <v>25</v>
      </c>
      <c r="H6" s="12" t="s">
        <v>31</v>
      </c>
      <c r="I6" s="12">
        <v>27</v>
      </c>
      <c r="J6" s="12">
        <v>27</v>
      </c>
      <c r="K6" s="12">
        <v>27</v>
      </c>
      <c r="L6" s="12">
        <v>27</v>
      </c>
      <c r="M6" s="12">
        <v>28</v>
      </c>
      <c r="N6" s="12">
        <v>27</v>
      </c>
      <c r="O6" s="12">
        <v>27</v>
      </c>
      <c r="P6" s="12">
        <v>27</v>
      </c>
      <c r="Q6" s="12">
        <v>27</v>
      </c>
      <c r="R6" s="12">
        <v>28</v>
      </c>
      <c r="S6" s="12">
        <v>28</v>
      </c>
      <c r="T6" s="12">
        <v>27</v>
      </c>
      <c r="U6" s="5">
        <v>327</v>
      </c>
      <c r="V6" s="5" t="s">
        <v>11</v>
      </c>
      <c r="W6" s="13">
        <v>46110</v>
      </c>
      <c r="X6" s="12">
        <v>1962</v>
      </c>
      <c r="Y6" s="12">
        <v>5</v>
      </c>
      <c r="Z6" s="15" t="s">
        <v>536</v>
      </c>
      <c r="AB6" s="26"/>
      <c r="AC6" s="26"/>
      <c r="AD6" s="26"/>
      <c r="AE6" s="26"/>
      <c r="AF6" s="26"/>
      <c r="AG6" s="26"/>
      <c r="AH6" s="26"/>
      <c r="AI6" s="26"/>
      <c r="AJ6" s="26"/>
      <c r="AK6" s="26"/>
      <c r="AL6" s="26"/>
      <c r="AM6" s="26"/>
      <c r="AN6" s="26"/>
      <c r="AO6" s="26"/>
      <c r="AP6" s="26"/>
      <c r="AQ6" s="26"/>
      <c r="AR6" s="26"/>
      <c r="AS6" s="26"/>
      <c r="AT6" s="26"/>
      <c r="AU6" s="26"/>
      <c r="AV6" s="26"/>
      <c r="AW6" s="26"/>
      <c r="AX6" s="26"/>
      <c r="AY6" s="26"/>
      <c r="AZ6" s="26"/>
    </row>
    <row r="7" spans="1:54" ht="15" customHeight="1" x14ac:dyDescent="0.3">
      <c r="A7" s="14">
        <v>6</v>
      </c>
      <c r="B7" s="12">
        <v>126806</v>
      </c>
      <c r="C7" s="12" t="s">
        <v>34</v>
      </c>
      <c r="D7" s="12" t="s">
        <v>7</v>
      </c>
      <c r="E7" s="12">
        <v>21</v>
      </c>
      <c r="F7" s="12" t="s">
        <v>555</v>
      </c>
      <c r="G7" s="12" t="s">
        <v>35</v>
      </c>
      <c r="H7" s="12" t="s">
        <v>31</v>
      </c>
      <c r="I7" s="12">
        <v>28</v>
      </c>
      <c r="J7" s="12">
        <v>28</v>
      </c>
      <c r="K7" s="12">
        <v>27</v>
      </c>
      <c r="L7" s="12">
        <v>27</v>
      </c>
      <c r="M7" s="12">
        <v>27</v>
      </c>
      <c r="N7" s="12">
        <v>28</v>
      </c>
      <c r="O7" s="12">
        <v>28</v>
      </c>
      <c r="P7" s="12">
        <v>28</v>
      </c>
      <c r="Q7" s="12">
        <v>27</v>
      </c>
      <c r="R7" s="12">
        <v>28</v>
      </c>
      <c r="S7" s="12">
        <v>28</v>
      </c>
      <c r="T7" s="12">
        <v>27</v>
      </c>
      <c r="U7" s="5">
        <v>331</v>
      </c>
      <c r="V7" s="5" t="s">
        <v>13</v>
      </c>
      <c r="W7" s="13">
        <v>46160</v>
      </c>
      <c r="X7" s="12">
        <v>1986</v>
      </c>
      <c r="Y7" s="12">
        <v>3</v>
      </c>
      <c r="Z7" s="15" t="s">
        <v>536</v>
      </c>
      <c r="AB7" s="26"/>
      <c r="AC7" s="26"/>
      <c r="AD7" s="26"/>
      <c r="AE7" s="26"/>
      <c r="AF7" s="26"/>
      <c r="AG7" s="26"/>
      <c r="AH7" s="26"/>
      <c r="AI7" s="26"/>
      <c r="AJ7" s="26"/>
      <c r="AK7" s="26"/>
      <c r="AL7" s="26"/>
      <c r="AM7" s="26"/>
      <c r="AN7" s="26"/>
      <c r="AO7" s="26"/>
      <c r="AP7" s="26"/>
      <c r="AQ7" s="26"/>
      <c r="AR7" s="26"/>
      <c r="AS7" s="26"/>
      <c r="AT7" s="26"/>
      <c r="AU7" s="26"/>
      <c r="AV7" s="26"/>
      <c r="AW7" s="26"/>
      <c r="AX7" s="26"/>
      <c r="AY7" s="26"/>
      <c r="AZ7" s="26"/>
    </row>
    <row r="8" spans="1:54" ht="14.4" customHeight="1" x14ac:dyDescent="0.3">
      <c r="A8" s="14">
        <v>7</v>
      </c>
      <c r="B8" s="12">
        <v>126807</v>
      </c>
      <c r="C8" s="12" t="s">
        <v>36</v>
      </c>
      <c r="D8" s="12" t="s">
        <v>7</v>
      </c>
      <c r="E8" s="12">
        <v>20</v>
      </c>
      <c r="F8" s="12" t="s">
        <v>555</v>
      </c>
      <c r="G8" s="12" t="s">
        <v>30</v>
      </c>
      <c r="H8" s="12" t="s">
        <v>28</v>
      </c>
      <c r="I8" s="12">
        <v>27</v>
      </c>
      <c r="J8" s="12">
        <v>28</v>
      </c>
      <c r="K8" s="12">
        <v>27</v>
      </c>
      <c r="L8" s="12">
        <v>28</v>
      </c>
      <c r="M8" s="12">
        <v>27</v>
      </c>
      <c r="N8" s="12">
        <v>28</v>
      </c>
      <c r="O8" s="12">
        <v>28</v>
      </c>
      <c r="P8" s="12">
        <v>27</v>
      </c>
      <c r="Q8" s="12">
        <v>28</v>
      </c>
      <c r="R8" s="12">
        <v>28</v>
      </c>
      <c r="S8" s="12">
        <v>28</v>
      </c>
      <c r="T8" s="12">
        <v>27</v>
      </c>
      <c r="U8" s="5">
        <v>331</v>
      </c>
      <c r="V8" s="5" t="s">
        <v>15</v>
      </c>
      <c r="W8" s="13">
        <v>46215</v>
      </c>
      <c r="X8" s="12">
        <v>1986</v>
      </c>
      <c r="Y8" s="12">
        <v>4</v>
      </c>
      <c r="Z8" s="15" t="s">
        <v>535</v>
      </c>
      <c r="AB8" s="3"/>
      <c r="AC8" s="3"/>
      <c r="AD8" s="3"/>
      <c r="AE8" s="3"/>
      <c r="AF8" s="3"/>
      <c r="AG8" s="3"/>
      <c r="AH8" s="3"/>
      <c r="AU8" s="2"/>
      <c r="AV8" s="2"/>
      <c r="AW8" s="3"/>
      <c r="AX8" s="3"/>
      <c r="AY8" s="3"/>
      <c r="AZ8" s="3"/>
      <c r="BA8" s="4"/>
      <c r="BB8" s="4"/>
    </row>
    <row r="9" spans="1:54" x14ac:dyDescent="0.3">
      <c r="A9" s="14">
        <v>8</v>
      </c>
      <c r="B9" s="12">
        <v>126808</v>
      </c>
      <c r="C9" s="12" t="s">
        <v>37</v>
      </c>
      <c r="D9" s="12" t="s">
        <v>6</v>
      </c>
      <c r="E9" s="12">
        <v>26</v>
      </c>
      <c r="F9" s="12" t="s">
        <v>556</v>
      </c>
      <c r="G9" s="12" t="s">
        <v>38</v>
      </c>
      <c r="H9" s="12" t="s">
        <v>31</v>
      </c>
      <c r="I9" s="12">
        <v>27</v>
      </c>
      <c r="J9" s="12">
        <v>28</v>
      </c>
      <c r="K9" s="12">
        <v>27</v>
      </c>
      <c r="L9" s="12">
        <v>28</v>
      </c>
      <c r="M9" s="12">
        <v>27</v>
      </c>
      <c r="N9" s="12">
        <v>28</v>
      </c>
      <c r="O9" s="12">
        <v>27</v>
      </c>
      <c r="P9" s="12">
        <v>28</v>
      </c>
      <c r="Q9" s="12">
        <v>27</v>
      </c>
      <c r="R9" s="12">
        <v>28</v>
      </c>
      <c r="S9" s="12">
        <v>28</v>
      </c>
      <c r="T9" s="12">
        <v>27</v>
      </c>
      <c r="U9" s="5">
        <v>330</v>
      </c>
      <c r="V9" s="5" t="s">
        <v>9</v>
      </c>
      <c r="W9" s="13">
        <v>46036</v>
      </c>
      <c r="X9" s="12">
        <v>1980</v>
      </c>
      <c r="Y9" s="12">
        <v>4</v>
      </c>
      <c r="Z9" s="15" t="s">
        <v>535</v>
      </c>
      <c r="AU9" s="4"/>
      <c r="AV9" s="4"/>
      <c r="AW9" s="1"/>
      <c r="BA9" s="4"/>
      <c r="BB9" s="4"/>
    </row>
    <row r="10" spans="1:54" x14ac:dyDescent="0.3">
      <c r="A10" s="14">
        <v>9</v>
      </c>
      <c r="B10" s="12">
        <v>126809</v>
      </c>
      <c r="C10" s="12" t="s">
        <v>39</v>
      </c>
      <c r="D10" s="12" t="s">
        <v>6</v>
      </c>
      <c r="E10" s="12">
        <v>26</v>
      </c>
      <c r="F10" s="12" t="s">
        <v>556</v>
      </c>
      <c r="G10" s="12" t="s">
        <v>35</v>
      </c>
      <c r="H10" s="12" t="s">
        <v>31</v>
      </c>
      <c r="I10" s="12">
        <v>28</v>
      </c>
      <c r="J10" s="12">
        <v>28</v>
      </c>
      <c r="K10" s="12">
        <v>28</v>
      </c>
      <c r="L10" s="12">
        <v>27</v>
      </c>
      <c r="M10" s="12">
        <v>28</v>
      </c>
      <c r="N10" s="12">
        <v>28</v>
      </c>
      <c r="O10" s="12">
        <v>27</v>
      </c>
      <c r="P10" s="12">
        <v>28</v>
      </c>
      <c r="Q10" s="12">
        <v>28</v>
      </c>
      <c r="R10" s="12">
        <v>27</v>
      </c>
      <c r="S10" s="12">
        <v>27</v>
      </c>
      <c r="T10" s="12">
        <v>27</v>
      </c>
      <c r="U10" s="5">
        <v>331</v>
      </c>
      <c r="V10" s="5" t="s">
        <v>9</v>
      </c>
      <c r="W10" s="13">
        <v>46043</v>
      </c>
      <c r="X10" s="12">
        <v>1986</v>
      </c>
      <c r="Y10" s="12">
        <v>5</v>
      </c>
      <c r="Z10" s="15" t="s">
        <v>536</v>
      </c>
      <c r="AU10" s="4"/>
      <c r="AV10" s="4"/>
      <c r="AW10" s="1"/>
      <c r="BA10" s="3"/>
      <c r="BB10" s="3"/>
    </row>
    <row r="11" spans="1:54" x14ac:dyDescent="0.3">
      <c r="A11" s="14">
        <v>10</v>
      </c>
      <c r="B11" s="12">
        <v>126810</v>
      </c>
      <c r="C11" s="12" t="s">
        <v>40</v>
      </c>
      <c r="D11" s="12" t="s">
        <v>6</v>
      </c>
      <c r="E11" s="12">
        <v>18</v>
      </c>
      <c r="F11" s="12" t="s">
        <v>555</v>
      </c>
      <c r="G11" s="12" t="s">
        <v>38</v>
      </c>
      <c r="H11" s="12" t="s">
        <v>28</v>
      </c>
      <c r="I11" s="12">
        <v>28</v>
      </c>
      <c r="J11" s="12">
        <v>28</v>
      </c>
      <c r="K11" s="12">
        <v>28</v>
      </c>
      <c r="L11" s="12">
        <v>27</v>
      </c>
      <c r="M11" s="12">
        <v>28</v>
      </c>
      <c r="N11" s="12">
        <v>27</v>
      </c>
      <c r="O11" s="12">
        <v>27</v>
      </c>
      <c r="P11" s="12">
        <v>27</v>
      </c>
      <c r="Q11" s="12">
        <v>27</v>
      </c>
      <c r="R11" s="12">
        <v>28</v>
      </c>
      <c r="S11" s="12">
        <v>28</v>
      </c>
      <c r="T11" s="12">
        <v>28</v>
      </c>
      <c r="U11" s="5">
        <v>331</v>
      </c>
      <c r="V11" s="5" t="s">
        <v>10</v>
      </c>
      <c r="W11" s="13">
        <v>46058</v>
      </c>
      <c r="X11" s="12">
        <v>1986</v>
      </c>
      <c r="Y11" s="12">
        <v>3</v>
      </c>
      <c r="Z11" s="15" t="s">
        <v>535</v>
      </c>
      <c r="AA11" s="3"/>
      <c r="AB11" s="3"/>
      <c r="AC11" s="3"/>
      <c r="AD11" s="3"/>
      <c r="AE11" s="3"/>
      <c r="AF11" s="3"/>
      <c r="AG11" s="3"/>
      <c r="AT11" s="2"/>
      <c r="AU11" s="2"/>
      <c r="AV11" s="3"/>
      <c r="AW11" s="3"/>
      <c r="AX11" s="3"/>
      <c r="AY11" s="3"/>
    </row>
    <row r="12" spans="1:54" x14ac:dyDescent="0.3">
      <c r="A12" s="14">
        <v>11</v>
      </c>
      <c r="B12" s="12">
        <v>126811</v>
      </c>
      <c r="C12" s="12" t="s">
        <v>41</v>
      </c>
      <c r="D12" s="12" t="s">
        <v>6</v>
      </c>
      <c r="E12" s="12">
        <v>26</v>
      </c>
      <c r="F12" s="12" t="s">
        <v>556</v>
      </c>
      <c r="G12" s="12" t="s">
        <v>30</v>
      </c>
      <c r="H12" s="12" t="s">
        <v>26</v>
      </c>
      <c r="I12" s="12">
        <v>27</v>
      </c>
      <c r="J12" s="12">
        <v>27</v>
      </c>
      <c r="K12" s="12">
        <v>28</v>
      </c>
      <c r="L12" s="12">
        <v>27</v>
      </c>
      <c r="M12" s="12">
        <v>27</v>
      </c>
      <c r="N12" s="12">
        <v>28</v>
      </c>
      <c r="O12" s="12">
        <v>28</v>
      </c>
      <c r="P12" s="12">
        <v>27</v>
      </c>
      <c r="Q12" s="12">
        <v>28</v>
      </c>
      <c r="R12" s="12">
        <v>27</v>
      </c>
      <c r="S12" s="12">
        <v>28</v>
      </c>
      <c r="T12" s="12">
        <v>27</v>
      </c>
      <c r="U12" s="5">
        <v>329</v>
      </c>
      <c r="V12" s="5" t="s">
        <v>12</v>
      </c>
      <c r="W12" s="13">
        <v>46140</v>
      </c>
      <c r="X12" s="12">
        <v>1974</v>
      </c>
      <c r="Y12" s="12">
        <v>4</v>
      </c>
      <c r="Z12" s="15" t="s">
        <v>535</v>
      </c>
      <c r="AT12" s="4"/>
      <c r="AU12" s="4"/>
      <c r="AV12" s="1"/>
    </row>
    <row r="13" spans="1:54" x14ac:dyDescent="0.3">
      <c r="A13" s="14">
        <v>12</v>
      </c>
      <c r="B13" s="12">
        <v>126812</v>
      </c>
      <c r="C13" s="12" t="s">
        <v>42</v>
      </c>
      <c r="D13" s="12" t="s">
        <v>6</v>
      </c>
      <c r="E13" s="12">
        <v>25</v>
      </c>
      <c r="F13" s="12" t="s">
        <v>555</v>
      </c>
      <c r="G13" s="12" t="s">
        <v>35</v>
      </c>
      <c r="H13" s="12" t="s">
        <v>26</v>
      </c>
      <c r="I13" s="12">
        <v>28</v>
      </c>
      <c r="J13" s="12">
        <v>28</v>
      </c>
      <c r="K13" s="12">
        <v>28</v>
      </c>
      <c r="L13" s="12">
        <v>27</v>
      </c>
      <c r="M13" s="12">
        <v>28</v>
      </c>
      <c r="N13" s="12">
        <v>27</v>
      </c>
      <c r="O13" s="12">
        <v>27</v>
      </c>
      <c r="P13" s="12">
        <v>28</v>
      </c>
      <c r="Q13" s="12">
        <v>27</v>
      </c>
      <c r="R13" s="12">
        <v>27</v>
      </c>
      <c r="S13" s="12">
        <v>27</v>
      </c>
      <c r="T13" s="12">
        <v>28</v>
      </c>
      <c r="U13" s="5">
        <v>330</v>
      </c>
      <c r="V13" s="5" t="s">
        <v>13</v>
      </c>
      <c r="W13" s="13">
        <v>46154</v>
      </c>
      <c r="X13" s="12">
        <v>1980</v>
      </c>
      <c r="Y13" s="12">
        <v>4</v>
      </c>
      <c r="Z13" s="15" t="s">
        <v>535</v>
      </c>
      <c r="AT13" s="4"/>
      <c r="AU13" s="4"/>
      <c r="AV13" s="1"/>
    </row>
    <row r="14" spans="1:54" x14ac:dyDescent="0.3">
      <c r="A14" s="14">
        <v>13</v>
      </c>
      <c r="B14" s="12">
        <v>126813</v>
      </c>
      <c r="C14" s="12" t="s">
        <v>43</v>
      </c>
      <c r="D14" s="12" t="s">
        <v>6</v>
      </c>
      <c r="E14" s="12">
        <v>23</v>
      </c>
      <c r="F14" s="12" t="s">
        <v>555</v>
      </c>
      <c r="G14" s="12" t="s">
        <v>38</v>
      </c>
      <c r="H14" s="12" t="s">
        <v>28</v>
      </c>
      <c r="I14" s="12">
        <v>28</v>
      </c>
      <c r="J14" s="12">
        <v>27</v>
      </c>
      <c r="K14" s="12">
        <v>27</v>
      </c>
      <c r="L14" s="12">
        <v>28</v>
      </c>
      <c r="M14" s="12">
        <v>28</v>
      </c>
      <c r="N14" s="12">
        <v>28</v>
      </c>
      <c r="O14" s="12">
        <v>27</v>
      </c>
      <c r="P14" s="12">
        <v>28</v>
      </c>
      <c r="Q14" s="12">
        <v>27</v>
      </c>
      <c r="R14" s="12">
        <v>28</v>
      </c>
      <c r="S14" s="12">
        <v>27</v>
      </c>
      <c r="T14" s="12">
        <v>28</v>
      </c>
      <c r="U14" s="5">
        <v>331</v>
      </c>
      <c r="V14" s="5" t="s">
        <v>9</v>
      </c>
      <c r="W14" s="13">
        <v>46044</v>
      </c>
      <c r="X14" s="12">
        <v>1986</v>
      </c>
      <c r="Y14" s="12">
        <v>4</v>
      </c>
      <c r="Z14" s="15" t="s">
        <v>536</v>
      </c>
      <c r="AT14" s="4"/>
      <c r="AU14" s="4"/>
      <c r="AV14" s="1"/>
    </row>
    <row r="15" spans="1:54" x14ac:dyDescent="0.3">
      <c r="A15" s="14">
        <v>14</v>
      </c>
      <c r="B15" s="12">
        <v>126814</v>
      </c>
      <c r="C15" s="12" t="s">
        <v>44</v>
      </c>
      <c r="D15" s="12" t="s">
        <v>6</v>
      </c>
      <c r="E15" s="12">
        <v>27</v>
      </c>
      <c r="F15" s="12" t="s">
        <v>556</v>
      </c>
      <c r="G15" s="12" t="s">
        <v>45</v>
      </c>
      <c r="H15" s="12" t="s">
        <v>26</v>
      </c>
      <c r="I15" s="12">
        <v>28</v>
      </c>
      <c r="J15" s="12">
        <v>28</v>
      </c>
      <c r="K15" s="12">
        <v>27</v>
      </c>
      <c r="L15" s="12">
        <v>28</v>
      </c>
      <c r="M15" s="12">
        <v>27</v>
      </c>
      <c r="N15" s="12">
        <v>27</v>
      </c>
      <c r="O15" s="12">
        <v>27</v>
      </c>
      <c r="P15" s="12">
        <v>28</v>
      </c>
      <c r="Q15" s="12">
        <v>27</v>
      </c>
      <c r="R15" s="12">
        <v>28</v>
      </c>
      <c r="S15" s="12">
        <v>27</v>
      </c>
      <c r="T15" s="12">
        <v>28</v>
      </c>
      <c r="U15" s="5">
        <v>330</v>
      </c>
      <c r="V15" s="5" t="s">
        <v>17</v>
      </c>
      <c r="W15" s="13">
        <v>46270</v>
      </c>
      <c r="X15" s="12">
        <v>1980</v>
      </c>
      <c r="Y15" s="12">
        <v>3</v>
      </c>
      <c r="Z15" s="15" t="s">
        <v>535</v>
      </c>
      <c r="AT15" s="4"/>
      <c r="AU15" s="4"/>
      <c r="AV15" s="1"/>
    </row>
    <row r="16" spans="1:54" x14ac:dyDescent="0.3">
      <c r="A16" s="14">
        <v>15</v>
      </c>
      <c r="B16" s="12">
        <v>126815</v>
      </c>
      <c r="C16" s="12" t="s">
        <v>46</v>
      </c>
      <c r="D16" s="12" t="s">
        <v>7</v>
      </c>
      <c r="E16" s="12">
        <v>19</v>
      </c>
      <c r="F16" s="12" t="s">
        <v>555</v>
      </c>
      <c r="G16" s="12" t="s">
        <v>35</v>
      </c>
      <c r="H16" s="12" t="s">
        <v>31</v>
      </c>
      <c r="I16" s="12">
        <v>28</v>
      </c>
      <c r="J16" s="12">
        <v>27</v>
      </c>
      <c r="K16" s="12">
        <v>27</v>
      </c>
      <c r="L16" s="12">
        <v>28</v>
      </c>
      <c r="M16" s="12">
        <v>28</v>
      </c>
      <c r="N16" s="12">
        <v>28</v>
      </c>
      <c r="O16" s="12">
        <v>28</v>
      </c>
      <c r="P16" s="12">
        <v>27</v>
      </c>
      <c r="Q16" s="12">
        <v>28</v>
      </c>
      <c r="R16" s="12">
        <v>28</v>
      </c>
      <c r="S16" s="12">
        <v>28</v>
      </c>
      <c r="T16" s="12">
        <v>28</v>
      </c>
      <c r="U16" s="5">
        <v>333</v>
      </c>
      <c r="V16" s="5" t="s">
        <v>12</v>
      </c>
      <c r="W16" s="13">
        <v>46140</v>
      </c>
      <c r="X16" s="12">
        <v>1998</v>
      </c>
      <c r="Y16" s="12">
        <v>3</v>
      </c>
      <c r="Z16" s="15" t="s">
        <v>536</v>
      </c>
      <c r="AT16" s="4"/>
      <c r="AU16" s="4"/>
      <c r="AV16" s="1"/>
    </row>
    <row r="17" spans="1:48" x14ac:dyDescent="0.3">
      <c r="A17" s="14">
        <v>16</v>
      </c>
      <c r="B17" s="12">
        <v>126816</v>
      </c>
      <c r="C17" s="12" t="s">
        <v>47</v>
      </c>
      <c r="D17" s="12" t="s">
        <v>7</v>
      </c>
      <c r="E17" s="12">
        <v>22</v>
      </c>
      <c r="F17" s="12" t="s">
        <v>555</v>
      </c>
      <c r="G17" s="12" t="s">
        <v>38</v>
      </c>
      <c r="H17" s="12" t="s">
        <v>26</v>
      </c>
      <c r="I17" s="12">
        <v>27</v>
      </c>
      <c r="J17" s="12">
        <v>28</v>
      </c>
      <c r="K17" s="12">
        <v>27</v>
      </c>
      <c r="L17" s="12">
        <v>28</v>
      </c>
      <c r="M17" s="12">
        <v>28</v>
      </c>
      <c r="N17" s="12">
        <v>28</v>
      </c>
      <c r="O17" s="12">
        <v>27</v>
      </c>
      <c r="P17" s="12">
        <v>27</v>
      </c>
      <c r="Q17" s="12">
        <v>27</v>
      </c>
      <c r="R17" s="12">
        <v>28</v>
      </c>
      <c r="S17" s="12">
        <v>28</v>
      </c>
      <c r="T17" s="12">
        <v>28</v>
      </c>
      <c r="U17" s="5">
        <v>331</v>
      </c>
      <c r="V17" s="5" t="s">
        <v>9</v>
      </c>
      <c r="W17" s="13">
        <v>46042</v>
      </c>
      <c r="X17" s="12">
        <v>1986</v>
      </c>
      <c r="Y17" s="12">
        <v>3</v>
      </c>
      <c r="Z17" s="15" t="s">
        <v>536</v>
      </c>
      <c r="AT17" s="4"/>
      <c r="AU17" s="4"/>
      <c r="AV17" s="1"/>
    </row>
    <row r="18" spans="1:48" x14ac:dyDescent="0.3">
      <c r="A18" s="14">
        <v>17</v>
      </c>
      <c r="B18" s="12">
        <v>126817</v>
      </c>
      <c r="C18" s="12" t="s">
        <v>48</v>
      </c>
      <c r="D18" s="12" t="s">
        <v>6</v>
      </c>
      <c r="E18" s="12">
        <v>19</v>
      </c>
      <c r="F18" s="12" t="s">
        <v>555</v>
      </c>
      <c r="G18" s="12" t="s">
        <v>25</v>
      </c>
      <c r="H18" s="12" t="s">
        <v>26</v>
      </c>
      <c r="I18" s="12">
        <v>27</v>
      </c>
      <c r="J18" s="12">
        <v>28</v>
      </c>
      <c r="K18" s="12">
        <v>27</v>
      </c>
      <c r="L18" s="12">
        <v>28</v>
      </c>
      <c r="M18" s="12">
        <v>28</v>
      </c>
      <c r="N18" s="12">
        <v>28</v>
      </c>
      <c r="O18" s="12">
        <v>27</v>
      </c>
      <c r="P18" s="12">
        <v>27</v>
      </c>
      <c r="Q18" s="12">
        <v>27</v>
      </c>
      <c r="R18" s="12">
        <v>27</v>
      </c>
      <c r="S18" s="12">
        <v>27</v>
      </c>
      <c r="T18" s="12">
        <v>27</v>
      </c>
      <c r="U18" s="5">
        <v>328</v>
      </c>
      <c r="V18" s="5" t="s">
        <v>17</v>
      </c>
      <c r="W18" s="13">
        <v>46274</v>
      </c>
      <c r="X18" s="12">
        <v>1968</v>
      </c>
      <c r="Y18" s="12">
        <v>4</v>
      </c>
      <c r="Z18" s="15" t="s">
        <v>535</v>
      </c>
      <c r="AT18" s="4"/>
      <c r="AU18" s="4"/>
      <c r="AV18" s="1"/>
    </row>
    <row r="19" spans="1:48" x14ac:dyDescent="0.3">
      <c r="A19" s="14">
        <v>18</v>
      </c>
      <c r="B19" s="12">
        <v>126818</v>
      </c>
      <c r="C19" s="12" t="s">
        <v>49</v>
      </c>
      <c r="D19" s="12" t="s">
        <v>6</v>
      </c>
      <c r="E19" s="12">
        <v>23</v>
      </c>
      <c r="F19" s="12" t="s">
        <v>555</v>
      </c>
      <c r="G19" s="12" t="s">
        <v>45</v>
      </c>
      <c r="H19" s="12" t="s">
        <v>28</v>
      </c>
      <c r="I19" s="12">
        <v>28</v>
      </c>
      <c r="J19" s="12">
        <v>27</v>
      </c>
      <c r="K19" s="12">
        <v>27</v>
      </c>
      <c r="L19" s="12">
        <v>28</v>
      </c>
      <c r="M19" s="12">
        <v>27</v>
      </c>
      <c r="N19" s="12">
        <v>27</v>
      </c>
      <c r="O19" s="12">
        <v>27</v>
      </c>
      <c r="P19" s="12">
        <v>28</v>
      </c>
      <c r="Q19" s="12">
        <v>28</v>
      </c>
      <c r="R19" s="12">
        <v>27</v>
      </c>
      <c r="S19" s="12">
        <v>28</v>
      </c>
      <c r="T19" s="12">
        <v>27</v>
      </c>
      <c r="U19" s="5">
        <v>329</v>
      </c>
      <c r="V19" s="5" t="s">
        <v>13</v>
      </c>
      <c r="W19" s="13">
        <v>46146</v>
      </c>
      <c r="X19" s="12">
        <v>1974</v>
      </c>
      <c r="Y19" s="12">
        <v>3</v>
      </c>
      <c r="Z19" s="15" t="s">
        <v>535</v>
      </c>
      <c r="AT19" s="4"/>
      <c r="AU19" s="4"/>
      <c r="AV19" s="1"/>
    </row>
    <row r="20" spans="1:48" x14ac:dyDescent="0.3">
      <c r="A20" s="14">
        <v>19</v>
      </c>
      <c r="B20" s="12">
        <v>126819</v>
      </c>
      <c r="C20" s="12" t="s">
        <v>50</v>
      </c>
      <c r="D20" s="12" t="s">
        <v>6</v>
      </c>
      <c r="E20" s="12">
        <v>24</v>
      </c>
      <c r="F20" s="12" t="s">
        <v>555</v>
      </c>
      <c r="G20" s="12" t="s">
        <v>45</v>
      </c>
      <c r="H20" s="12" t="s">
        <v>26</v>
      </c>
      <c r="I20" s="12">
        <v>28</v>
      </c>
      <c r="J20" s="12">
        <v>28</v>
      </c>
      <c r="K20" s="12">
        <v>27</v>
      </c>
      <c r="L20" s="12">
        <v>27</v>
      </c>
      <c r="M20" s="12">
        <v>27</v>
      </c>
      <c r="N20" s="12">
        <v>28</v>
      </c>
      <c r="O20" s="12">
        <v>28</v>
      </c>
      <c r="P20" s="12">
        <v>27</v>
      </c>
      <c r="Q20" s="12">
        <v>28</v>
      </c>
      <c r="R20" s="12">
        <v>28</v>
      </c>
      <c r="S20" s="12">
        <v>27</v>
      </c>
      <c r="T20" s="12">
        <v>28</v>
      </c>
      <c r="U20" s="5">
        <v>331</v>
      </c>
      <c r="V20" s="5" t="s">
        <v>13</v>
      </c>
      <c r="W20" s="13">
        <v>46151</v>
      </c>
      <c r="X20" s="12">
        <v>1986</v>
      </c>
      <c r="Y20" s="12">
        <v>3</v>
      </c>
      <c r="Z20" s="15" t="s">
        <v>536</v>
      </c>
      <c r="AT20" s="4"/>
      <c r="AU20" s="4"/>
      <c r="AV20" s="1"/>
    </row>
    <row r="21" spans="1:48" x14ac:dyDescent="0.3">
      <c r="A21" s="14">
        <v>20</v>
      </c>
      <c r="B21" s="12">
        <v>126820</v>
      </c>
      <c r="C21" s="12" t="s">
        <v>51</v>
      </c>
      <c r="D21" s="12" t="s">
        <v>6</v>
      </c>
      <c r="E21" s="12">
        <v>25</v>
      </c>
      <c r="F21" s="12" t="s">
        <v>555</v>
      </c>
      <c r="G21" s="12" t="s">
        <v>30</v>
      </c>
      <c r="H21" s="12" t="s">
        <v>26</v>
      </c>
      <c r="I21" s="12">
        <v>27</v>
      </c>
      <c r="J21" s="12">
        <v>28</v>
      </c>
      <c r="K21" s="12">
        <v>27</v>
      </c>
      <c r="L21" s="12">
        <v>28</v>
      </c>
      <c r="M21" s="12">
        <v>28</v>
      </c>
      <c r="N21" s="12">
        <v>27</v>
      </c>
      <c r="O21" s="12">
        <v>28</v>
      </c>
      <c r="P21" s="12">
        <v>27</v>
      </c>
      <c r="Q21" s="12">
        <v>27</v>
      </c>
      <c r="R21" s="12">
        <v>27</v>
      </c>
      <c r="S21" s="12">
        <v>27</v>
      </c>
      <c r="T21" s="12">
        <v>27</v>
      </c>
      <c r="U21" s="5">
        <v>328</v>
      </c>
      <c r="V21" s="5" t="s">
        <v>9</v>
      </c>
      <c r="W21" s="13">
        <v>46042</v>
      </c>
      <c r="X21" s="12">
        <v>1968</v>
      </c>
      <c r="Y21" s="12">
        <v>5</v>
      </c>
      <c r="Z21" s="15" t="s">
        <v>535</v>
      </c>
      <c r="AT21" s="4"/>
      <c r="AU21" s="4"/>
      <c r="AV21" s="1"/>
    </row>
    <row r="22" spans="1:48" x14ac:dyDescent="0.3">
      <c r="A22" s="14">
        <v>21</v>
      </c>
      <c r="B22" s="12">
        <v>126821</v>
      </c>
      <c r="C22" s="12" t="s">
        <v>52</v>
      </c>
      <c r="D22" s="12" t="s">
        <v>6</v>
      </c>
      <c r="E22" s="12">
        <v>21</v>
      </c>
      <c r="F22" s="12" t="s">
        <v>555</v>
      </c>
      <c r="G22" s="12" t="s">
        <v>30</v>
      </c>
      <c r="H22" s="12" t="s">
        <v>26</v>
      </c>
      <c r="I22" s="12">
        <v>28</v>
      </c>
      <c r="J22" s="12">
        <v>28</v>
      </c>
      <c r="K22" s="12">
        <v>28</v>
      </c>
      <c r="L22" s="12">
        <v>28</v>
      </c>
      <c r="M22" s="12">
        <v>27</v>
      </c>
      <c r="N22" s="12">
        <v>27</v>
      </c>
      <c r="O22" s="12">
        <v>27</v>
      </c>
      <c r="P22" s="12">
        <v>28</v>
      </c>
      <c r="Q22" s="12">
        <v>27</v>
      </c>
      <c r="R22" s="12">
        <v>27</v>
      </c>
      <c r="S22" s="12">
        <v>28</v>
      </c>
      <c r="T22" s="12">
        <v>28</v>
      </c>
      <c r="U22" s="5">
        <v>331</v>
      </c>
      <c r="V22" s="5" t="s">
        <v>10</v>
      </c>
      <c r="W22" s="13">
        <v>46064</v>
      </c>
      <c r="X22" s="12">
        <v>1986</v>
      </c>
      <c r="Y22" s="12">
        <v>5</v>
      </c>
      <c r="Z22" s="15" t="s">
        <v>535</v>
      </c>
      <c r="AT22" s="4"/>
      <c r="AU22" s="4"/>
      <c r="AV22" s="1"/>
    </row>
    <row r="23" spans="1:48" x14ac:dyDescent="0.3">
      <c r="A23" s="14">
        <v>22</v>
      </c>
      <c r="B23" s="12">
        <v>126822</v>
      </c>
      <c r="C23" s="12" t="s">
        <v>53</v>
      </c>
      <c r="D23" s="12" t="s">
        <v>7</v>
      </c>
      <c r="E23" s="12">
        <v>18</v>
      </c>
      <c r="F23" s="12" t="s">
        <v>555</v>
      </c>
      <c r="G23" s="12" t="s">
        <v>35</v>
      </c>
      <c r="H23" s="12" t="s">
        <v>26</v>
      </c>
      <c r="I23" s="12">
        <v>28</v>
      </c>
      <c r="J23" s="12">
        <v>28</v>
      </c>
      <c r="K23" s="12">
        <v>27</v>
      </c>
      <c r="L23" s="12">
        <v>27</v>
      </c>
      <c r="M23" s="12">
        <v>27</v>
      </c>
      <c r="N23" s="12">
        <v>27</v>
      </c>
      <c r="O23" s="12">
        <v>27</v>
      </c>
      <c r="P23" s="12">
        <v>28</v>
      </c>
      <c r="Q23" s="12">
        <v>28</v>
      </c>
      <c r="R23" s="12">
        <v>28</v>
      </c>
      <c r="S23" s="12">
        <v>27</v>
      </c>
      <c r="T23" s="12">
        <v>28</v>
      </c>
      <c r="U23" s="5">
        <v>330</v>
      </c>
      <c r="V23" s="5" t="s">
        <v>11</v>
      </c>
      <c r="W23" s="13">
        <v>46086</v>
      </c>
      <c r="X23" s="12">
        <v>1980</v>
      </c>
      <c r="Y23" s="12">
        <v>3</v>
      </c>
      <c r="Z23" s="15" t="s">
        <v>536</v>
      </c>
      <c r="AT23" s="4"/>
      <c r="AU23" s="4"/>
      <c r="AV23" s="1"/>
    </row>
    <row r="24" spans="1:48" x14ac:dyDescent="0.3">
      <c r="A24" s="14">
        <v>23</v>
      </c>
      <c r="B24" s="12">
        <v>126823</v>
      </c>
      <c r="C24" s="12" t="s">
        <v>54</v>
      </c>
      <c r="D24" s="12" t="s">
        <v>6</v>
      </c>
      <c r="E24" s="12">
        <v>26</v>
      </c>
      <c r="F24" s="12" t="s">
        <v>556</v>
      </c>
      <c r="G24" s="12" t="s">
        <v>38</v>
      </c>
      <c r="H24" s="12" t="s">
        <v>31</v>
      </c>
      <c r="I24" s="12">
        <v>28</v>
      </c>
      <c r="J24" s="12">
        <v>27</v>
      </c>
      <c r="K24" s="12">
        <v>28</v>
      </c>
      <c r="L24" s="12">
        <v>28</v>
      </c>
      <c r="M24" s="12">
        <v>28</v>
      </c>
      <c r="N24" s="12">
        <v>27</v>
      </c>
      <c r="O24" s="12">
        <v>27</v>
      </c>
      <c r="P24" s="12">
        <v>28</v>
      </c>
      <c r="Q24" s="12">
        <v>28</v>
      </c>
      <c r="R24" s="12">
        <v>28</v>
      </c>
      <c r="S24" s="12">
        <v>28</v>
      </c>
      <c r="T24" s="12">
        <v>28</v>
      </c>
      <c r="U24" s="5">
        <v>333</v>
      </c>
      <c r="V24" s="5" t="s">
        <v>12</v>
      </c>
      <c r="W24" s="13">
        <v>46115</v>
      </c>
      <c r="X24" s="12">
        <v>1998</v>
      </c>
      <c r="Y24" s="12">
        <v>4</v>
      </c>
      <c r="Z24" s="15" t="s">
        <v>535</v>
      </c>
      <c r="AT24" s="4"/>
      <c r="AU24" s="4"/>
      <c r="AV24" s="1"/>
    </row>
    <row r="25" spans="1:48" x14ac:dyDescent="0.3">
      <c r="A25" s="14">
        <v>24</v>
      </c>
      <c r="B25" s="12">
        <v>126824</v>
      </c>
      <c r="C25" s="12" t="s">
        <v>55</v>
      </c>
      <c r="D25" s="12" t="s">
        <v>6</v>
      </c>
      <c r="E25" s="12">
        <v>25</v>
      </c>
      <c r="F25" s="12" t="s">
        <v>555</v>
      </c>
      <c r="G25" s="12" t="s">
        <v>45</v>
      </c>
      <c r="H25" s="12" t="s">
        <v>31</v>
      </c>
      <c r="I25" s="12">
        <v>27</v>
      </c>
      <c r="J25" s="12">
        <v>27</v>
      </c>
      <c r="K25" s="12">
        <v>27</v>
      </c>
      <c r="L25" s="12">
        <v>27</v>
      </c>
      <c r="M25" s="12">
        <v>27</v>
      </c>
      <c r="N25" s="12">
        <v>27</v>
      </c>
      <c r="O25" s="12">
        <v>27</v>
      </c>
      <c r="P25" s="12">
        <v>28</v>
      </c>
      <c r="Q25" s="12">
        <v>27</v>
      </c>
      <c r="R25" s="12">
        <v>28</v>
      </c>
      <c r="S25" s="12">
        <v>27</v>
      </c>
      <c r="T25" s="12">
        <v>28</v>
      </c>
      <c r="U25" s="5">
        <v>327</v>
      </c>
      <c r="V25" s="5" t="s">
        <v>9</v>
      </c>
      <c r="W25" s="13">
        <v>46051</v>
      </c>
      <c r="X25" s="12">
        <v>1962</v>
      </c>
      <c r="Y25" s="12">
        <v>3</v>
      </c>
      <c r="Z25" s="15" t="s">
        <v>536</v>
      </c>
      <c r="AT25" s="4"/>
      <c r="AU25" s="4"/>
      <c r="AV25" s="1"/>
    </row>
    <row r="26" spans="1:48" x14ac:dyDescent="0.3">
      <c r="A26" s="14">
        <v>25</v>
      </c>
      <c r="B26" s="12">
        <v>126825</v>
      </c>
      <c r="C26" s="12" t="s">
        <v>56</v>
      </c>
      <c r="D26" s="12" t="s">
        <v>6</v>
      </c>
      <c r="E26" s="12">
        <v>25</v>
      </c>
      <c r="F26" s="12" t="s">
        <v>555</v>
      </c>
      <c r="G26" s="12" t="s">
        <v>25</v>
      </c>
      <c r="H26" s="12" t="s">
        <v>26</v>
      </c>
      <c r="I26" s="12">
        <v>28</v>
      </c>
      <c r="J26" s="12">
        <v>28</v>
      </c>
      <c r="K26" s="12">
        <v>27</v>
      </c>
      <c r="L26" s="12">
        <v>27</v>
      </c>
      <c r="M26" s="12">
        <v>27</v>
      </c>
      <c r="N26" s="12">
        <v>28</v>
      </c>
      <c r="O26" s="12">
        <v>28</v>
      </c>
      <c r="P26" s="12">
        <v>28</v>
      </c>
      <c r="Q26" s="12">
        <v>28</v>
      </c>
      <c r="R26" s="12">
        <v>27</v>
      </c>
      <c r="S26" s="12">
        <v>28</v>
      </c>
      <c r="T26" s="12">
        <v>28</v>
      </c>
      <c r="U26" s="5">
        <v>332</v>
      </c>
      <c r="V26" s="5" t="s">
        <v>10</v>
      </c>
      <c r="W26" s="13">
        <v>46079</v>
      </c>
      <c r="X26" s="12">
        <v>1992</v>
      </c>
      <c r="Y26" s="12">
        <v>4</v>
      </c>
      <c r="Z26" s="15" t="s">
        <v>536</v>
      </c>
      <c r="AT26" s="4"/>
      <c r="AU26" s="4"/>
      <c r="AV26" s="1"/>
    </row>
    <row r="27" spans="1:48" x14ac:dyDescent="0.3">
      <c r="A27" s="14">
        <v>26</v>
      </c>
      <c r="B27" s="12">
        <v>126826</v>
      </c>
      <c r="C27" s="12" t="s">
        <v>57</v>
      </c>
      <c r="D27" s="12" t="s">
        <v>7</v>
      </c>
      <c r="E27" s="12">
        <v>23</v>
      </c>
      <c r="F27" s="12" t="s">
        <v>555</v>
      </c>
      <c r="G27" s="12" t="s">
        <v>30</v>
      </c>
      <c r="H27" s="12" t="s">
        <v>31</v>
      </c>
      <c r="I27" s="12">
        <v>27</v>
      </c>
      <c r="J27" s="12">
        <v>28</v>
      </c>
      <c r="K27" s="12">
        <v>27</v>
      </c>
      <c r="L27" s="12">
        <v>28</v>
      </c>
      <c r="M27" s="12">
        <v>27</v>
      </c>
      <c r="N27" s="12">
        <v>28</v>
      </c>
      <c r="O27" s="12">
        <v>28</v>
      </c>
      <c r="P27" s="12">
        <v>27</v>
      </c>
      <c r="Q27" s="12">
        <v>27</v>
      </c>
      <c r="R27" s="12">
        <v>28</v>
      </c>
      <c r="S27" s="12">
        <v>27</v>
      </c>
      <c r="T27" s="12">
        <v>28</v>
      </c>
      <c r="U27" s="5">
        <v>330</v>
      </c>
      <c r="V27" s="5" t="s">
        <v>10</v>
      </c>
      <c r="W27" s="13">
        <v>46075</v>
      </c>
      <c r="X27" s="12">
        <v>1980</v>
      </c>
      <c r="Y27" s="12">
        <v>5</v>
      </c>
      <c r="Z27" s="15" t="s">
        <v>535</v>
      </c>
      <c r="AT27" s="4"/>
      <c r="AU27" s="4"/>
      <c r="AV27" s="1"/>
    </row>
    <row r="28" spans="1:48" x14ac:dyDescent="0.3">
      <c r="A28" s="14">
        <v>27</v>
      </c>
      <c r="B28" s="12">
        <v>126827</v>
      </c>
      <c r="C28" s="12" t="s">
        <v>58</v>
      </c>
      <c r="D28" s="12" t="s">
        <v>6</v>
      </c>
      <c r="E28" s="12">
        <v>25</v>
      </c>
      <c r="F28" s="12" t="s">
        <v>555</v>
      </c>
      <c r="G28" s="12" t="s">
        <v>35</v>
      </c>
      <c r="H28" s="12" t="s">
        <v>28</v>
      </c>
      <c r="I28" s="12">
        <v>28</v>
      </c>
      <c r="J28" s="12">
        <v>28</v>
      </c>
      <c r="K28" s="12">
        <v>27</v>
      </c>
      <c r="L28" s="12">
        <v>27</v>
      </c>
      <c r="M28" s="12">
        <v>28</v>
      </c>
      <c r="N28" s="12">
        <v>28</v>
      </c>
      <c r="O28" s="12">
        <v>27</v>
      </c>
      <c r="P28" s="12">
        <v>27</v>
      </c>
      <c r="Q28" s="12">
        <v>28</v>
      </c>
      <c r="R28" s="12">
        <v>28</v>
      </c>
      <c r="S28" s="12">
        <v>28</v>
      </c>
      <c r="T28" s="12">
        <v>27</v>
      </c>
      <c r="U28" s="5">
        <v>331</v>
      </c>
      <c r="V28" s="5" t="s">
        <v>15</v>
      </c>
      <c r="W28" s="13">
        <v>46227</v>
      </c>
      <c r="X28" s="12">
        <v>1986</v>
      </c>
      <c r="Y28" s="12">
        <v>5</v>
      </c>
      <c r="Z28" s="15" t="s">
        <v>535</v>
      </c>
      <c r="AT28" s="4"/>
      <c r="AU28" s="4"/>
      <c r="AV28" s="1"/>
    </row>
    <row r="29" spans="1:48" x14ac:dyDescent="0.3">
      <c r="A29" s="14">
        <v>28</v>
      </c>
      <c r="B29" s="12">
        <v>126828</v>
      </c>
      <c r="C29" s="12" t="s">
        <v>59</v>
      </c>
      <c r="D29" s="12" t="s">
        <v>7</v>
      </c>
      <c r="E29" s="12">
        <v>21</v>
      </c>
      <c r="F29" s="12" t="s">
        <v>555</v>
      </c>
      <c r="G29" s="12" t="s">
        <v>25</v>
      </c>
      <c r="H29" s="12" t="s">
        <v>26</v>
      </c>
      <c r="I29" s="12">
        <v>28</v>
      </c>
      <c r="J29" s="12">
        <v>27</v>
      </c>
      <c r="K29" s="12">
        <v>28</v>
      </c>
      <c r="L29" s="12">
        <v>28</v>
      </c>
      <c r="M29" s="12">
        <v>27</v>
      </c>
      <c r="N29" s="12">
        <v>28</v>
      </c>
      <c r="O29" s="12">
        <v>27</v>
      </c>
      <c r="P29" s="12">
        <v>28</v>
      </c>
      <c r="Q29" s="12">
        <v>27</v>
      </c>
      <c r="R29" s="12">
        <v>28</v>
      </c>
      <c r="S29" s="12">
        <v>28</v>
      </c>
      <c r="T29" s="12">
        <v>27</v>
      </c>
      <c r="U29" s="5">
        <v>331</v>
      </c>
      <c r="V29" s="5" t="s">
        <v>10</v>
      </c>
      <c r="W29" s="13">
        <v>46071</v>
      </c>
      <c r="X29" s="12">
        <v>1986</v>
      </c>
      <c r="Y29" s="12">
        <v>3</v>
      </c>
      <c r="Z29" s="15" t="s">
        <v>535</v>
      </c>
      <c r="AT29" s="4"/>
      <c r="AU29" s="4"/>
      <c r="AV29" s="1"/>
    </row>
    <row r="30" spans="1:48" x14ac:dyDescent="0.3">
      <c r="A30" s="14">
        <v>29</v>
      </c>
      <c r="B30" s="12">
        <v>126829</v>
      </c>
      <c r="C30" s="12" t="s">
        <v>60</v>
      </c>
      <c r="D30" s="12" t="s">
        <v>7</v>
      </c>
      <c r="E30" s="12">
        <v>27</v>
      </c>
      <c r="F30" s="12" t="s">
        <v>556</v>
      </c>
      <c r="G30" s="12" t="s">
        <v>35</v>
      </c>
      <c r="H30" s="12" t="s">
        <v>28</v>
      </c>
      <c r="I30" s="12">
        <v>28</v>
      </c>
      <c r="J30" s="12">
        <v>28</v>
      </c>
      <c r="K30" s="12">
        <v>28</v>
      </c>
      <c r="L30" s="12">
        <v>27</v>
      </c>
      <c r="M30" s="12">
        <v>27</v>
      </c>
      <c r="N30" s="12">
        <v>27</v>
      </c>
      <c r="O30" s="12">
        <v>28</v>
      </c>
      <c r="P30" s="12">
        <v>27</v>
      </c>
      <c r="Q30" s="12">
        <v>27</v>
      </c>
      <c r="R30" s="12">
        <v>28</v>
      </c>
      <c r="S30" s="12">
        <v>27</v>
      </c>
      <c r="T30" s="12">
        <v>28</v>
      </c>
      <c r="U30" s="5">
        <v>330</v>
      </c>
      <c r="V30" s="5" t="s">
        <v>17</v>
      </c>
      <c r="W30" s="13">
        <v>46292</v>
      </c>
      <c r="X30" s="12">
        <v>1980</v>
      </c>
      <c r="Y30" s="12">
        <v>5</v>
      </c>
      <c r="Z30" s="15" t="s">
        <v>535</v>
      </c>
      <c r="AT30" s="4"/>
      <c r="AU30" s="4"/>
      <c r="AV30" s="1"/>
    </row>
    <row r="31" spans="1:48" x14ac:dyDescent="0.3">
      <c r="A31" s="14">
        <v>30</v>
      </c>
      <c r="B31" s="12">
        <v>126830</v>
      </c>
      <c r="C31" s="12" t="s">
        <v>61</v>
      </c>
      <c r="D31" s="12" t="s">
        <v>6</v>
      </c>
      <c r="E31" s="12">
        <v>23</v>
      </c>
      <c r="F31" s="12" t="s">
        <v>555</v>
      </c>
      <c r="G31" s="12" t="s">
        <v>25</v>
      </c>
      <c r="H31" s="12" t="s">
        <v>31</v>
      </c>
      <c r="I31" s="12">
        <v>28</v>
      </c>
      <c r="J31" s="12">
        <v>28</v>
      </c>
      <c r="K31" s="12">
        <v>28</v>
      </c>
      <c r="L31" s="12">
        <v>27</v>
      </c>
      <c r="M31" s="12">
        <v>28</v>
      </c>
      <c r="N31" s="12">
        <v>28</v>
      </c>
      <c r="O31" s="12">
        <v>28</v>
      </c>
      <c r="P31" s="12">
        <v>27</v>
      </c>
      <c r="Q31" s="12">
        <v>27</v>
      </c>
      <c r="R31" s="12">
        <v>27</v>
      </c>
      <c r="S31" s="12">
        <v>27</v>
      </c>
      <c r="T31" s="12">
        <v>27</v>
      </c>
      <c r="U31" s="5">
        <v>330</v>
      </c>
      <c r="V31" s="5" t="s">
        <v>10</v>
      </c>
      <c r="W31" s="13">
        <v>46057</v>
      </c>
      <c r="X31" s="12">
        <v>1980</v>
      </c>
      <c r="Y31" s="12">
        <v>4</v>
      </c>
      <c r="Z31" s="15" t="s">
        <v>535</v>
      </c>
      <c r="AT31" s="4"/>
      <c r="AU31" s="4"/>
      <c r="AV31" s="1"/>
    </row>
    <row r="32" spans="1:48" x14ac:dyDescent="0.3">
      <c r="A32" s="14">
        <v>31</v>
      </c>
      <c r="B32" s="12">
        <v>126831</v>
      </c>
      <c r="C32" s="12" t="s">
        <v>62</v>
      </c>
      <c r="D32" s="12" t="s">
        <v>6</v>
      </c>
      <c r="E32" s="12">
        <v>19</v>
      </c>
      <c r="F32" s="12" t="s">
        <v>555</v>
      </c>
      <c r="G32" s="12" t="s">
        <v>38</v>
      </c>
      <c r="H32" s="12" t="s">
        <v>31</v>
      </c>
      <c r="I32" s="12">
        <v>28</v>
      </c>
      <c r="J32" s="12">
        <v>27</v>
      </c>
      <c r="K32" s="12">
        <v>28</v>
      </c>
      <c r="L32" s="12">
        <v>27</v>
      </c>
      <c r="M32" s="12">
        <v>28</v>
      </c>
      <c r="N32" s="12">
        <v>27</v>
      </c>
      <c r="O32" s="12">
        <v>28</v>
      </c>
      <c r="P32" s="12">
        <v>28</v>
      </c>
      <c r="Q32" s="12">
        <v>27</v>
      </c>
      <c r="R32" s="12">
        <v>28</v>
      </c>
      <c r="S32" s="12">
        <v>27</v>
      </c>
      <c r="T32" s="12">
        <v>27</v>
      </c>
      <c r="U32" s="5">
        <v>330</v>
      </c>
      <c r="V32" s="5" t="s">
        <v>13</v>
      </c>
      <c r="W32" s="13">
        <v>46164</v>
      </c>
      <c r="X32" s="12">
        <v>1980</v>
      </c>
      <c r="Y32" s="12">
        <v>4</v>
      </c>
      <c r="Z32" s="15" t="s">
        <v>535</v>
      </c>
      <c r="AT32" s="4"/>
      <c r="AU32" s="4"/>
      <c r="AV32" s="1"/>
    </row>
    <row r="33" spans="1:48" x14ac:dyDescent="0.3">
      <c r="A33" s="14">
        <v>32</v>
      </c>
      <c r="B33" s="12">
        <v>126832</v>
      </c>
      <c r="C33" s="12" t="s">
        <v>63</v>
      </c>
      <c r="D33" s="12" t="s">
        <v>6</v>
      </c>
      <c r="E33" s="12">
        <v>26</v>
      </c>
      <c r="F33" s="12" t="s">
        <v>556</v>
      </c>
      <c r="G33" s="12" t="s">
        <v>30</v>
      </c>
      <c r="H33" s="12" t="s">
        <v>31</v>
      </c>
      <c r="I33" s="12">
        <v>27</v>
      </c>
      <c r="J33" s="12">
        <v>28</v>
      </c>
      <c r="K33" s="12">
        <v>27</v>
      </c>
      <c r="L33" s="12">
        <v>27</v>
      </c>
      <c r="M33" s="12">
        <v>28</v>
      </c>
      <c r="N33" s="12">
        <v>27</v>
      </c>
      <c r="O33" s="12">
        <v>28</v>
      </c>
      <c r="P33" s="12">
        <v>28</v>
      </c>
      <c r="Q33" s="12">
        <v>27</v>
      </c>
      <c r="R33" s="12">
        <v>28</v>
      </c>
      <c r="S33" s="12">
        <v>27</v>
      </c>
      <c r="T33" s="12">
        <v>28</v>
      </c>
      <c r="U33" s="5">
        <v>330</v>
      </c>
      <c r="V33" s="5" t="s">
        <v>9</v>
      </c>
      <c r="W33" s="13">
        <v>46047</v>
      </c>
      <c r="X33" s="12">
        <v>1980</v>
      </c>
      <c r="Y33" s="12">
        <v>4</v>
      </c>
      <c r="Z33" s="15" t="s">
        <v>535</v>
      </c>
      <c r="AT33" s="4"/>
      <c r="AU33" s="4"/>
      <c r="AV33" s="1"/>
    </row>
    <row r="34" spans="1:48" x14ac:dyDescent="0.3">
      <c r="A34" s="14">
        <v>33</v>
      </c>
      <c r="B34" s="12">
        <v>126833</v>
      </c>
      <c r="C34" s="12" t="s">
        <v>64</v>
      </c>
      <c r="D34" s="12" t="s">
        <v>6</v>
      </c>
      <c r="E34" s="12">
        <v>18</v>
      </c>
      <c r="F34" s="12" t="s">
        <v>555</v>
      </c>
      <c r="G34" s="12" t="s">
        <v>45</v>
      </c>
      <c r="H34" s="12" t="s">
        <v>28</v>
      </c>
      <c r="I34" s="12">
        <v>27</v>
      </c>
      <c r="J34" s="12">
        <v>27</v>
      </c>
      <c r="K34" s="12">
        <v>28</v>
      </c>
      <c r="L34" s="12">
        <v>28</v>
      </c>
      <c r="M34" s="12">
        <v>28</v>
      </c>
      <c r="N34" s="12">
        <v>27</v>
      </c>
      <c r="O34" s="12">
        <v>28</v>
      </c>
      <c r="P34" s="12">
        <v>27</v>
      </c>
      <c r="Q34" s="12">
        <v>27</v>
      </c>
      <c r="R34" s="12">
        <v>27</v>
      </c>
      <c r="S34" s="12">
        <v>27</v>
      </c>
      <c r="T34" s="12">
        <v>27</v>
      </c>
      <c r="U34" s="5">
        <v>328</v>
      </c>
      <c r="V34" s="5" t="s">
        <v>16</v>
      </c>
      <c r="W34" s="13">
        <v>46258</v>
      </c>
      <c r="X34" s="12">
        <v>1968</v>
      </c>
      <c r="Y34" s="12">
        <v>4</v>
      </c>
      <c r="Z34" s="15" t="s">
        <v>536</v>
      </c>
      <c r="AT34" s="4"/>
      <c r="AU34" s="4"/>
      <c r="AV34" s="1"/>
    </row>
    <row r="35" spans="1:48" x14ac:dyDescent="0.3">
      <c r="A35" s="14">
        <v>34</v>
      </c>
      <c r="B35" s="12">
        <v>126834</v>
      </c>
      <c r="C35" s="12" t="s">
        <v>65</v>
      </c>
      <c r="D35" s="12" t="s">
        <v>6</v>
      </c>
      <c r="E35" s="12">
        <v>25</v>
      </c>
      <c r="F35" s="12" t="s">
        <v>555</v>
      </c>
      <c r="G35" s="12" t="s">
        <v>38</v>
      </c>
      <c r="H35" s="12" t="s">
        <v>31</v>
      </c>
      <c r="I35" s="12">
        <v>28</v>
      </c>
      <c r="J35" s="12">
        <v>28</v>
      </c>
      <c r="K35" s="12">
        <v>27</v>
      </c>
      <c r="L35" s="12">
        <v>27</v>
      </c>
      <c r="M35" s="12">
        <v>27</v>
      </c>
      <c r="N35" s="12">
        <v>28</v>
      </c>
      <c r="O35" s="12">
        <v>27</v>
      </c>
      <c r="P35" s="12">
        <v>27</v>
      </c>
      <c r="Q35" s="12">
        <v>27</v>
      </c>
      <c r="R35" s="12">
        <v>28</v>
      </c>
      <c r="S35" s="12">
        <v>27</v>
      </c>
      <c r="T35" s="12">
        <v>27</v>
      </c>
      <c r="U35" s="5">
        <v>328</v>
      </c>
      <c r="V35" s="5" t="s">
        <v>9</v>
      </c>
      <c r="W35" s="13">
        <v>46032</v>
      </c>
      <c r="X35" s="12">
        <v>1968</v>
      </c>
      <c r="Y35" s="12">
        <v>5</v>
      </c>
      <c r="Z35" s="15" t="s">
        <v>535</v>
      </c>
      <c r="AT35" s="4"/>
      <c r="AU35" s="4"/>
      <c r="AV35" s="1"/>
    </row>
    <row r="36" spans="1:48" x14ac:dyDescent="0.3">
      <c r="A36" s="14">
        <v>35</v>
      </c>
      <c r="B36" s="12">
        <v>126835</v>
      </c>
      <c r="C36" s="12" t="s">
        <v>66</v>
      </c>
      <c r="D36" s="12" t="s">
        <v>6</v>
      </c>
      <c r="E36" s="12">
        <v>24</v>
      </c>
      <c r="F36" s="12" t="s">
        <v>555</v>
      </c>
      <c r="G36" s="12" t="s">
        <v>25</v>
      </c>
      <c r="H36" s="12" t="s">
        <v>26</v>
      </c>
      <c r="I36" s="12">
        <v>27</v>
      </c>
      <c r="J36" s="12">
        <v>28</v>
      </c>
      <c r="K36" s="12">
        <v>27</v>
      </c>
      <c r="L36" s="12">
        <v>28</v>
      </c>
      <c r="M36" s="12">
        <v>28</v>
      </c>
      <c r="N36" s="12">
        <v>27</v>
      </c>
      <c r="O36" s="12">
        <v>28</v>
      </c>
      <c r="P36" s="12">
        <v>28</v>
      </c>
      <c r="Q36" s="12">
        <v>27</v>
      </c>
      <c r="R36" s="12">
        <v>28</v>
      </c>
      <c r="S36" s="12">
        <v>27</v>
      </c>
      <c r="T36" s="12">
        <v>27</v>
      </c>
      <c r="U36" s="5">
        <v>330</v>
      </c>
      <c r="V36" s="5" t="s">
        <v>10</v>
      </c>
      <c r="W36" s="13">
        <v>46075</v>
      </c>
      <c r="X36" s="12">
        <v>1980</v>
      </c>
      <c r="Y36" s="12">
        <v>3</v>
      </c>
      <c r="Z36" s="15" t="s">
        <v>536</v>
      </c>
      <c r="AT36" s="4"/>
      <c r="AU36" s="4"/>
      <c r="AV36" s="1"/>
    </row>
    <row r="37" spans="1:48" x14ac:dyDescent="0.3">
      <c r="A37" s="14">
        <v>36</v>
      </c>
      <c r="B37" s="12">
        <v>126836</v>
      </c>
      <c r="C37" s="12" t="s">
        <v>67</v>
      </c>
      <c r="D37" s="12" t="s">
        <v>6</v>
      </c>
      <c r="E37" s="12">
        <v>26</v>
      </c>
      <c r="F37" s="12" t="s">
        <v>556</v>
      </c>
      <c r="G37" s="12" t="s">
        <v>38</v>
      </c>
      <c r="H37" s="12" t="s">
        <v>26</v>
      </c>
      <c r="I37" s="12">
        <v>27</v>
      </c>
      <c r="J37" s="12">
        <v>28</v>
      </c>
      <c r="K37" s="12">
        <v>28</v>
      </c>
      <c r="L37" s="12">
        <v>28</v>
      </c>
      <c r="M37" s="12">
        <v>28</v>
      </c>
      <c r="N37" s="12">
        <v>28</v>
      </c>
      <c r="O37" s="12">
        <v>27</v>
      </c>
      <c r="P37" s="12">
        <v>28</v>
      </c>
      <c r="Q37" s="12">
        <v>27</v>
      </c>
      <c r="R37" s="12">
        <v>27</v>
      </c>
      <c r="S37" s="12">
        <v>28</v>
      </c>
      <c r="T37" s="12">
        <v>28</v>
      </c>
      <c r="U37" s="5">
        <v>332</v>
      </c>
      <c r="V37" s="5" t="s">
        <v>13</v>
      </c>
      <c r="W37" s="13">
        <v>46158</v>
      </c>
      <c r="X37" s="12">
        <v>1992</v>
      </c>
      <c r="Y37" s="12">
        <v>4</v>
      </c>
      <c r="Z37" s="15" t="s">
        <v>535</v>
      </c>
      <c r="AT37" s="4"/>
      <c r="AU37" s="4"/>
      <c r="AV37" s="1"/>
    </row>
    <row r="38" spans="1:48" x14ac:dyDescent="0.3">
      <c r="A38" s="14">
        <v>37</v>
      </c>
      <c r="B38" s="12">
        <v>126837</v>
      </c>
      <c r="C38" s="12" t="s">
        <v>68</v>
      </c>
      <c r="D38" s="12" t="s">
        <v>7</v>
      </c>
      <c r="E38" s="12">
        <v>19</v>
      </c>
      <c r="F38" s="12" t="s">
        <v>555</v>
      </c>
      <c r="G38" s="12" t="s">
        <v>45</v>
      </c>
      <c r="H38" s="12" t="s">
        <v>26</v>
      </c>
      <c r="I38" s="12">
        <v>28</v>
      </c>
      <c r="J38" s="12">
        <v>27</v>
      </c>
      <c r="K38" s="12">
        <v>28</v>
      </c>
      <c r="L38" s="12">
        <v>28</v>
      </c>
      <c r="M38" s="12">
        <v>28</v>
      </c>
      <c r="N38" s="12">
        <v>28</v>
      </c>
      <c r="O38" s="12">
        <v>28</v>
      </c>
      <c r="P38" s="12">
        <v>28</v>
      </c>
      <c r="Q38" s="12">
        <v>27</v>
      </c>
      <c r="R38" s="12">
        <v>28</v>
      </c>
      <c r="S38" s="12">
        <v>27</v>
      </c>
      <c r="T38" s="12">
        <v>27</v>
      </c>
      <c r="U38" s="5">
        <v>332</v>
      </c>
      <c r="V38" s="5" t="s">
        <v>15</v>
      </c>
      <c r="W38" s="13">
        <v>46232</v>
      </c>
      <c r="X38" s="12">
        <v>1992</v>
      </c>
      <c r="Y38" s="12">
        <v>4</v>
      </c>
      <c r="Z38" s="15" t="s">
        <v>536</v>
      </c>
      <c r="AT38" s="4"/>
      <c r="AU38" s="4"/>
      <c r="AV38" s="1"/>
    </row>
    <row r="39" spans="1:48" x14ac:dyDescent="0.3">
      <c r="A39" s="14">
        <v>38</v>
      </c>
      <c r="B39" s="12">
        <v>126838</v>
      </c>
      <c r="C39" s="12" t="s">
        <v>69</v>
      </c>
      <c r="D39" s="12" t="s">
        <v>7</v>
      </c>
      <c r="E39" s="12">
        <v>23</v>
      </c>
      <c r="F39" s="12" t="s">
        <v>555</v>
      </c>
      <c r="G39" s="12" t="s">
        <v>25</v>
      </c>
      <c r="H39" s="12" t="s">
        <v>28</v>
      </c>
      <c r="I39" s="12">
        <v>28</v>
      </c>
      <c r="J39" s="12">
        <v>28</v>
      </c>
      <c r="K39" s="12">
        <v>27</v>
      </c>
      <c r="L39" s="12">
        <v>28</v>
      </c>
      <c r="M39" s="12">
        <v>27</v>
      </c>
      <c r="N39" s="12">
        <v>27</v>
      </c>
      <c r="O39" s="12">
        <v>27</v>
      </c>
      <c r="P39" s="12">
        <v>27</v>
      </c>
      <c r="Q39" s="12">
        <v>28</v>
      </c>
      <c r="R39" s="12">
        <v>27</v>
      </c>
      <c r="S39" s="12">
        <v>28</v>
      </c>
      <c r="T39" s="12">
        <v>27</v>
      </c>
      <c r="U39" s="5">
        <v>329</v>
      </c>
      <c r="V39" s="5" t="s">
        <v>14</v>
      </c>
      <c r="W39" s="13">
        <v>46196</v>
      </c>
      <c r="X39" s="12">
        <v>1974</v>
      </c>
      <c r="Y39" s="12">
        <v>5</v>
      </c>
      <c r="Z39" s="15" t="s">
        <v>536</v>
      </c>
      <c r="AT39" s="4"/>
      <c r="AU39" s="4"/>
      <c r="AV39" s="1"/>
    </row>
    <row r="40" spans="1:48" x14ac:dyDescent="0.3">
      <c r="A40" s="14">
        <v>39</v>
      </c>
      <c r="B40" s="12">
        <v>126839</v>
      </c>
      <c r="C40" s="12" t="s">
        <v>70</v>
      </c>
      <c r="D40" s="12" t="s">
        <v>6</v>
      </c>
      <c r="E40" s="12">
        <v>20</v>
      </c>
      <c r="F40" s="12" t="s">
        <v>555</v>
      </c>
      <c r="G40" s="12" t="s">
        <v>35</v>
      </c>
      <c r="H40" s="12" t="s">
        <v>31</v>
      </c>
      <c r="I40" s="12">
        <v>28</v>
      </c>
      <c r="J40" s="12">
        <v>28</v>
      </c>
      <c r="K40" s="12">
        <v>27</v>
      </c>
      <c r="L40" s="12">
        <v>27</v>
      </c>
      <c r="M40" s="12">
        <v>27</v>
      </c>
      <c r="N40" s="12">
        <v>28</v>
      </c>
      <c r="O40" s="12">
        <v>27</v>
      </c>
      <c r="P40" s="12">
        <v>27</v>
      </c>
      <c r="Q40" s="12">
        <v>28</v>
      </c>
      <c r="R40" s="12">
        <v>27</v>
      </c>
      <c r="S40" s="12">
        <v>27</v>
      </c>
      <c r="T40" s="12">
        <v>28</v>
      </c>
      <c r="U40" s="5">
        <v>329</v>
      </c>
      <c r="V40" s="5" t="s">
        <v>13</v>
      </c>
      <c r="W40" s="13">
        <v>46144</v>
      </c>
      <c r="X40" s="12">
        <v>1974</v>
      </c>
      <c r="Y40" s="12">
        <v>4</v>
      </c>
      <c r="Z40" s="15" t="s">
        <v>535</v>
      </c>
      <c r="AT40" s="4"/>
      <c r="AU40" s="4"/>
      <c r="AV40" s="1"/>
    </row>
    <row r="41" spans="1:48" x14ac:dyDescent="0.3">
      <c r="A41" s="14">
        <v>40</v>
      </c>
      <c r="B41" s="12">
        <v>126840</v>
      </c>
      <c r="C41" s="12" t="s">
        <v>71</v>
      </c>
      <c r="D41" s="12" t="s">
        <v>6</v>
      </c>
      <c r="E41" s="12">
        <v>22</v>
      </c>
      <c r="F41" s="12" t="s">
        <v>555</v>
      </c>
      <c r="G41" s="12" t="s">
        <v>38</v>
      </c>
      <c r="H41" s="12" t="s">
        <v>31</v>
      </c>
      <c r="I41" s="12">
        <v>27</v>
      </c>
      <c r="J41" s="12">
        <v>28</v>
      </c>
      <c r="K41" s="12">
        <v>27</v>
      </c>
      <c r="L41" s="12">
        <v>27</v>
      </c>
      <c r="M41" s="12">
        <v>28</v>
      </c>
      <c r="N41" s="12">
        <v>28</v>
      </c>
      <c r="O41" s="12">
        <v>27</v>
      </c>
      <c r="P41" s="12">
        <v>27</v>
      </c>
      <c r="Q41" s="12">
        <v>27</v>
      </c>
      <c r="R41" s="12">
        <v>28</v>
      </c>
      <c r="S41" s="12">
        <v>28</v>
      </c>
      <c r="T41" s="12">
        <v>28</v>
      </c>
      <c r="U41" s="5">
        <v>330</v>
      </c>
      <c r="V41" s="5" t="s">
        <v>11</v>
      </c>
      <c r="W41" s="13">
        <v>46097</v>
      </c>
      <c r="X41" s="12">
        <v>1980</v>
      </c>
      <c r="Y41" s="12">
        <v>5</v>
      </c>
      <c r="Z41" s="15" t="s">
        <v>536</v>
      </c>
      <c r="AT41" s="4"/>
      <c r="AU41" s="4"/>
      <c r="AV41" s="1"/>
    </row>
    <row r="42" spans="1:48" x14ac:dyDescent="0.3">
      <c r="A42" s="14">
        <v>41</v>
      </c>
      <c r="B42" s="12">
        <v>126841</v>
      </c>
      <c r="C42" s="12" t="s">
        <v>72</v>
      </c>
      <c r="D42" s="12" t="s">
        <v>6</v>
      </c>
      <c r="E42" s="12">
        <v>19</v>
      </c>
      <c r="F42" s="12" t="s">
        <v>555</v>
      </c>
      <c r="G42" s="12" t="s">
        <v>45</v>
      </c>
      <c r="H42" s="12" t="s">
        <v>26</v>
      </c>
      <c r="I42" s="12">
        <v>27</v>
      </c>
      <c r="J42" s="12">
        <v>27</v>
      </c>
      <c r="K42" s="12">
        <v>27</v>
      </c>
      <c r="L42" s="12">
        <v>28</v>
      </c>
      <c r="M42" s="12">
        <v>28</v>
      </c>
      <c r="N42" s="12">
        <v>28</v>
      </c>
      <c r="O42" s="12">
        <v>27</v>
      </c>
      <c r="P42" s="12">
        <v>28</v>
      </c>
      <c r="Q42" s="12">
        <v>28</v>
      </c>
      <c r="R42" s="12">
        <v>28</v>
      </c>
      <c r="S42" s="12">
        <v>27</v>
      </c>
      <c r="T42" s="12">
        <v>28</v>
      </c>
      <c r="U42" s="5">
        <v>331</v>
      </c>
      <c r="V42" s="5" t="s">
        <v>14</v>
      </c>
      <c r="W42" s="13">
        <v>46189</v>
      </c>
      <c r="X42" s="12">
        <v>1986</v>
      </c>
      <c r="Y42" s="12">
        <v>5</v>
      </c>
      <c r="Z42" s="15" t="s">
        <v>535</v>
      </c>
      <c r="AT42" s="4"/>
      <c r="AU42" s="4"/>
      <c r="AV42" s="1"/>
    </row>
    <row r="43" spans="1:48" x14ac:dyDescent="0.3">
      <c r="A43" s="14">
        <v>42</v>
      </c>
      <c r="B43" s="12">
        <v>126842</v>
      </c>
      <c r="C43" s="12" t="s">
        <v>73</v>
      </c>
      <c r="D43" s="12" t="s">
        <v>6</v>
      </c>
      <c r="E43" s="12">
        <v>26</v>
      </c>
      <c r="F43" s="12" t="s">
        <v>556</v>
      </c>
      <c r="G43" s="12" t="s">
        <v>38</v>
      </c>
      <c r="H43" s="12" t="s">
        <v>31</v>
      </c>
      <c r="I43" s="12">
        <v>28</v>
      </c>
      <c r="J43" s="12">
        <v>27</v>
      </c>
      <c r="K43" s="12">
        <v>28</v>
      </c>
      <c r="L43" s="12">
        <v>28</v>
      </c>
      <c r="M43" s="12">
        <v>27</v>
      </c>
      <c r="N43" s="12">
        <v>27</v>
      </c>
      <c r="O43" s="12">
        <v>27</v>
      </c>
      <c r="P43" s="12">
        <v>28</v>
      </c>
      <c r="Q43" s="12">
        <v>27</v>
      </c>
      <c r="R43" s="12">
        <v>28</v>
      </c>
      <c r="S43" s="12">
        <v>27</v>
      </c>
      <c r="T43" s="12">
        <v>28</v>
      </c>
      <c r="U43" s="5">
        <v>330</v>
      </c>
      <c r="V43" s="5" t="s">
        <v>10</v>
      </c>
      <c r="W43" s="13">
        <v>46066</v>
      </c>
      <c r="X43" s="12">
        <v>1980</v>
      </c>
      <c r="Y43" s="12">
        <v>3</v>
      </c>
      <c r="Z43" s="15" t="s">
        <v>536</v>
      </c>
      <c r="AT43" s="4"/>
      <c r="AU43" s="4"/>
      <c r="AV43" s="1"/>
    </row>
    <row r="44" spans="1:48" x14ac:dyDescent="0.3">
      <c r="A44" s="14">
        <v>43</v>
      </c>
      <c r="B44" s="12">
        <v>126843</v>
      </c>
      <c r="C44" s="12" t="s">
        <v>74</v>
      </c>
      <c r="D44" s="12" t="s">
        <v>6</v>
      </c>
      <c r="E44" s="12">
        <v>26</v>
      </c>
      <c r="F44" s="12" t="s">
        <v>556</v>
      </c>
      <c r="G44" s="12" t="s">
        <v>35</v>
      </c>
      <c r="H44" s="12" t="s">
        <v>28</v>
      </c>
      <c r="I44" s="12">
        <v>28</v>
      </c>
      <c r="J44" s="12">
        <v>28</v>
      </c>
      <c r="K44" s="12">
        <v>28</v>
      </c>
      <c r="L44" s="12">
        <v>27</v>
      </c>
      <c r="M44" s="12">
        <v>27</v>
      </c>
      <c r="N44" s="12">
        <v>27</v>
      </c>
      <c r="O44" s="12">
        <v>27</v>
      </c>
      <c r="P44" s="12">
        <v>28</v>
      </c>
      <c r="Q44" s="12">
        <v>28</v>
      </c>
      <c r="R44" s="12">
        <v>27</v>
      </c>
      <c r="S44" s="12">
        <v>28</v>
      </c>
      <c r="T44" s="12">
        <v>28</v>
      </c>
      <c r="U44" s="5">
        <v>331</v>
      </c>
      <c r="V44" s="5" t="s">
        <v>13</v>
      </c>
      <c r="W44" s="13">
        <v>46157</v>
      </c>
      <c r="X44" s="12">
        <v>1986</v>
      </c>
      <c r="Y44" s="12">
        <v>4</v>
      </c>
      <c r="Z44" s="15" t="s">
        <v>535</v>
      </c>
      <c r="AT44" s="4"/>
      <c r="AU44" s="4"/>
      <c r="AV44" s="1"/>
    </row>
    <row r="45" spans="1:48" x14ac:dyDescent="0.3">
      <c r="A45" s="14">
        <v>44</v>
      </c>
      <c r="B45" s="12">
        <v>126844</v>
      </c>
      <c r="C45" s="12" t="s">
        <v>75</v>
      </c>
      <c r="D45" s="12" t="s">
        <v>7</v>
      </c>
      <c r="E45" s="12">
        <v>25</v>
      </c>
      <c r="F45" s="12" t="s">
        <v>555</v>
      </c>
      <c r="G45" s="12" t="s">
        <v>25</v>
      </c>
      <c r="H45" s="12" t="s">
        <v>28</v>
      </c>
      <c r="I45" s="12">
        <v>28</v>
      </c>
      <c r="J45" s="12">
        <v>27</v>
      </c>
      <c r="K45" s="12">
        <v>28</v>
      </c>
      <c r="L45" s="12">
        <v>27</v>
      </c>
      <c r="M45" s="12">
        <v>28</v>
      </c>
      <c r="N45" s="12">
        <v>27</v>
      </c>
      <c r="O45" s="12">
        <v>27</v>
      </c>
      <c r="P45" s="12">
        <v>28</v>
      </c>
      <c r="Q45" s="12">
        <v>27</v>
      </c>
      <c r="R45" s="12">
        <v>28</v>
      </c>
      <c r="S45" s="12">
        <v>28</v>
      </c>
      <c r="T45" s="12">
        <v>28</v>
      </c>
      <c r="U45" s="5">
        <v>331</v>
      </c>
      <c r="V45" s="5" t="s">
        <v>14</v>
      </c>
      <c r="W45" s="13">
        <v>46198</v>
      </c>
      <c r="X45" s="12">
        <v>1986</v>
      </c>
      <c r="Y45" s="12">
        <v>3</v>
      </c>
      <c r="Z45" s="15" t="s">
        <v>535</v>
      </c>
      <c r="AT45" s="4"/>
      <c r="AU45" s="4"/>
      <c r="AV45" s="1"/>
    </row>
    <row r="46" spans="1:48" x14ac:dyDescent="0.3">
      <c r="A46" s="14">
        <v>45</v>
      </c>
      <c r="B46" s="12">
        <v>126845</v>
      </c>
      <c r="C46" s="12" t="s">
        <v>76</v>
      </c>
      <c r="D46" s="12" t="s">
        <v>6</v>
      </c>
      <c r="E46" s="12">
        <v>23</v>
      </c>
      <c r="F46" s="12" t="s">
        <v>555</v>
      </c>
      <c r="G46" s="12" t="s">
        <v>38</v>
      </c>
      <c r="H46" s="12" t="s">
        <v>26</v>
      </c>
      <c r="I46" s="12">
        <v>27</v>
      </c>
      <c r="J46" s="12">
        <v>28</v>
      </c>
      <c r="K46" s="12">
        <v>28</v>
      </c>
      <c r="L46" s="12">
        <v>27</v>
      </c>
      <c r="M46" s="12">
        <v>28</v>
      </c>
      <c r="N46" s="12">
        <v>28</v>
      </c>
      <c r="O46" s="12">
        <v>28</v>
      </c>
      <c r="P46" s="12">
        <v>28</v>
      </c>
      <c r="Q46" s="12">
        <v>28</v>
      </c>
      <c r="R46" s="12">
        <v>28</v>
      </c>
      <c r="S46" s="12">
        <v>28</v>
      </c>
      <c r="T46" s="12">
        <v>27</v>
      </c>
      <c r="U46" s="5">
        <v>333</v>
      </c>
      <c r="V46" s="5" t="s">
        <v>9</v>
      </c>
      <c r="W46" s="13">
        <v>46035</v>
      </c>
      <c r="X46" s="12">
        <v>1998</v>
      </c>
      <c r="Y46" s="12">
        <v>4</v>
      </c>
      <c r="Z46" s="15" t="s">
        <v>536</v>
      </c>
      <c r="AT46" s="4"/>
      <c r="AU46" s="4"/>
      <c r="AV46" s="1"/>
    </row>
    <row r="47" spans="1:48" x14ac:dyDescent="0.3">
      <c r="A47" s="14">
        <v>46</v>
      </c>
      <c r="B47" s="12">
        <v>126846</v>
      </c>
      <c r="C47" s="12" t="s">
        <v>77</v>
      </c>
      <c r="D47" s="12" t="s">
        <v>6</v>
      </c>
      <c r="E47" s="12">
        <v>18</v>
      </c>
      <c r="F47" s="12" t="s">
        <v>555</v>
      </c>
      <c r="G47" s="12" t="s">
        <v>35</v>
      </c>
      <c r="H47" s="12" t="s">
        <v>26</v>
      </c>
      <c r="I47" s="12">
        <v>27</v>
      </c>
      <c r="J47" s="12">
        <v>28</v>
      </c>
      <c r="K47" s="12">
        <v>27</v>
      </c>
      <c r="L47" s="12">
        <v>27</v>
      </c>
      <c r="M47" s="12">
        <v>28</v>
      </c>
      <c r="N47" s="12">
        <v>27</v>
      </c>
      <c r="O47" s="12">
        <v>28</v>
      </c>
      <c r="P47" s="12">
        <v>27</v>
      </c>
      <c r="Q47" s="12">
        <v>28</v>
      </c>
      <c r="R47" s="12">
        <v>27</v>
      </c>
      <c r="S47" s="12">
        <v>27</v>
      </c>
      <c r="T47" s="12">
        <v>27</v>
      </c>
      <c r="U47" s="5">
        <v>328</v>
      </c>
      <c r="V47" s="5" t="s">
        <v>17</v>
      </c>
      <c r="W47" s="13">
        <v>46291</v>
      </c>
      <c r="X47" s="12">
        <v>1968</v>
      </c>
      <c r="Y47" s="12">
        <v>3</v>
      </c>
      <c r="Z47" s="15" t="s">
        <v>536</v>
      </c>
      <c r="AT47" s="4"/>
      <c r="AU47" s="4"/>
      <c r="AV47" s="1"/>
    </row>
    <row r="48" spans="1:48" x14ac:dyDescent="0.3">
      <c r="A48" s="14">
        <v>47</v>
      </c>
      <c r="B48" s="12">
        <v>126847</v>
      </c>
      <c r="C48" s="12" t="s">
        <v>78</v>
      </c>
      <c r="D48" s="12" t="s">
        <v>6</v>
      </c>
      <c r="E48" s="12">
        <v>22</v>
      </c>
      <c r="F48" s="12" t="s">
        <v>555</v>
      </c>
      <c r="G48" s="12" t="s">
        <v>25</v>
      </c>
      <c r="H48" s="12" t="s">
        <v>26</v>
      </c>
      <c r="I48" s="12">
        <v>28</v>
      </c>
      <c r="J48" s="12">
        <v>27</v>
      </c>
      <c r="K48" s="12">
        <v>28</v>
      </c>
      <c r="L48" s="12">
        <v>28</v>
      </c>
      <c r="M48" s="12">
        <v>28</v>
      </c>
      <c r="N48" s="12">
        <v>27</v>
      </c>
      <c r="O48" s="12">
        <v>28</v>
      </c>
      <c r="P48" s="12">
        <v>28</v>
      </c>
      <c r="Q48" s="12">
        <v>28</v>
      </c>
      <c r="R48" s="12">
        <v>28</v>
      </c>
      <c r="S48" s="12">
        <v>28</v>
      </c>
      <c r="T48" s="12">
        <v>27</v>
      </c>
      <c r="U48" s="5">
        <v>333</v>
      </c>
      <c r="V48" s="5" t="s">
        <v>12</v>
      </c>
      <c r="W48" s="13">
        <v>46133</v>
      </c>
      <c r="X48" s="12">
        <v>1998</v>
      </c>
      <c r="Y48" s="12">
        <v>3</v>
      </c>
      <c r="Z48" s="15" t="s">
        <v>536</v>
      </c>
      <c r="AT48" s="4"/>
      <c r="AU48" s="4"/>
      <c r="AV48" s="1"/>
    </row>
    <row r="49" spans="1:48" x14ac:dyDescent="0.3">
      <c r="A49" s="14">
        <v>48</v>
      </c>
      <c r="B49" s="12">
        <v>126848</v>
      </c>
      <c r="C49" s="12" t="s">
        <v>79</v>
      </c>
      <c r="D49" s="12" t="s">
        <v>7</v>
      </c>
      <c r="E49" s="12">
        <v>27</v>
      </c>
      <c r="F49" s="12" t="s">
        <v>556</v>
      </c>
      <c r="G49" s="12" t="s">
        <v>30</v>
      </c>
      <c r="H49" s="12" t="s">
        <v>28</v>
      </c>
      <c r="I49" s="12">
        <v>27</v>
      </c>
      <c r="J49" s="12">
        <v>28</v>
      </c>
      <c r="K49" s="12">
        <v>28</v>
      </c>
      <c r="L49" s="12">
        <v>27</v>
      </c>
      <c r="M49" s="12">
        <v>27</v>
      </c>
      <c r="N49" s="12">
        <v>28</v>
      </c>
      <c r="O49" s="12">
        <v>27</v>
      </c>
      <c r="P49" s="12">
        <v>27</v>
      </c>
      <c r="Q49" s="12">
        <v>28</v>
      </c>
      <c r="R49" s="12">
        <v>27</v>
      </c>
      <c r="S49" s="12">
        <v>27</v>
      </c>
      <c r="T49" s="12">
        <v>28</v>
      </c>
      <c r="U49" s="5">
        <v>329</v>
      </c>
      <c r="V49" s="5" t="s">
        <v>16</v>
      </c>
      <c r="W49" s="13">
        <v>46235</v>
      </c>
      <c r="X49" s="12">
        <v>1974</v>
      </c>
      <c r="Y49" s="12">
        <v>5</v>
      </c>
      <c r="Z49" s="15" t="s">
        <v>535</v>
      </c>
      <c r="AT49" s="4"/>
      <c r="AU49" s="4"/>
      <c r="AV49" s="1"/>
    </row>
    <row r="50" spans="1:48" x14ac:dyDescent="0.3">
      <c r="A50" s="14">
        <v>49</v>
      </c>
      <c r="B50" s="12">
        <v>126849</v>
      </c>
      <c r="C50" s="12" t="s">
        <v>80</v>
      </c>
      <c r="D50" s="12" t="s">
        <v>6</v>
      </c>
      <c r="E50" s="12">
        <v>24</v>
      </c>
      <c r="F50" s="12" t="s">
        <v>555</v>
      </c>
      <c r="G50" s="12" t="s">
        <v>25</v>
      </c>
      <c r="H50" s="12" t="s">
        <v>31</v>
      </c>
      <c r="I50" s="12">
        <v>27</v>
      </c>
      <c r="J50" s="12">
        <v>27</v>
      </c>
      <c r="K50" s="12">
        <v>27</v>
      </c>
      <c r="L50" s="12">
        <v>28</v>
      </c>
      <c r="M50" s="12">
        <v>27</v>
      </c>
      <c r="N50" s="12">
        <v>28</v>
      </c>
      <c r="O50" s="12">
        <v>27</v>
      </c>
      <c r="P50" s="12">
        <v>28</v>
      </c>
      <c r="Q50" s="12">
        <v>27</v>
      </c>
      <c r="R50" s="12">
        <v>27</v>
      </c>
      <c r="S50" s="12">
        <v>28</v>
      </c>
      <c r="T50" s="12">
        <v>28</v>
      </c>
      <c r="U50" s="5">
        <v>329</v>
      </c>
      <c r="V50" s="5" t="s">
        <v>12</v>
      </c>
      <c r="W50" s="13">
        <v>46127</v>
      </c>
      <c r="X50" s="12">
        <v>1974</v>
      </c>
      <c r="Y50" s="12">
        <v>3</v>
      </c>
      <c r="Z50" s="15" t="s">
        <v>536</v>
      </c>
      <c r="AT50" s="4"/>
      <c r="AU50" s="4"/>
      <c r="AV50" s="1"/>
    </row>
    <row r="51" spans="1:48" x14ac:dyDescent="0.3">
      <c r="A51" s="14">
        <v>50</v>
      </c>
      <c r="B51" s="12">
        <v>126850</v>
      </c>
      <c r="C51" s="12" t="s">
        <v>81</v>
      </c>
      <c r="D51" s="12" t="s">
        <v>7</v>
      </c>
      <c r="E51" s="12">
        <v>25</v>
      </c>
      <c r="F51" s="12" t="s">
        <v>555</v>
      </c>
      <c r="G51" s="12" t="s">
        <v>25</v>
      </c>
      <c r="H51" s="12" t="s">
        <v>28</v>
      </c>
      <c r="I51" s="12">
        <v>27</v>
      </c>
      <c r="J51" s="12">
        <v>27</v>
      </c>
      <c r="K51" s="12">
        <v>27</v>
      </c>
      <c r="L51" s="12">
        <v>27</v>
      </c>
      <c r="M51" s="12">
        <v>27</v>
      </c>
      <c r="N51" s="12">
        <v>28</v>
      </c>
      <c r="O51" s="12">
        <v>27</v>
      </c>
      <c r="P51" s="12">
        <v>28</v>
      </c>
      <c r="Q51" s="12">
        <v>27</v>
      </c>
      <c r="R51" s="12">
        <v>27</v>
      </c>
      <c r="S51" s="12">
        <v>28</v>
      </c>
      <c r="T51" s="12">
        <v>27</v>
      </c>
      <c r="U51" s="5">
        <v>327</v>
      </c>
      <c r="V51" s="5" t="s">
        <v>12</v>
      </c>
      <c r="W51" s="13">
        <v>46133</v>
      </c>
      <c r="X51" s="12">
        <v>1962</v>
      </c>
      <c r="Y51" s="12">
        <v>3</v>
      </c>
      <c r="Z51" s="15" t="s">
        <v>535</v>
      </c>
      <c r="AT51" s="4"/>
      <c r="AU51" s="4"/>
      <c r="AV51" s="1"/>
    </row>
    <row r="52" spans="1:48" x14ac:dyDescent="0.3">
      <c r="A52" s="14">
        <v>51</v>
      </c>
      <c r="B52" s="12">
        <v>126851</v>
      </c>
      <c r="C52" s="12" t="s">
        <v>82</v>
      </c>
      <c r="D52" s="12" t="s">
        <v>7</v>
      </c>
      <c r="E52" s="12">
        <v>26</v>
      </c>
      <c r="F52" s="12" t="s">
        <v>556</v>
      </c>
      <c r="G52" s="12" t="s">
        <v>38</v>
      </c>
      <c r="H52" s="12" t="s">
        <v>26</v>
      </c>
      <c r="I52" s="12">
        <v>27</v>
      </c>
      <c r="J52" s="12">
        <v>28</v>
      </c>
      <c r="K52" s="12">
        <v>27</v>
      </c>
      <c r="L52" s="12">
        <v>28</v>
      </c>
      <c r="M52" s="12">
        <v>28</v>
      </c>
      <c r="N52" s="12">
        <v>28</v>
      </c>
      <c r="O52" s="12">
        <v>28</v>
      </c>
      <c r="P52" s="12">
        <v>28</v>
      </c>
      <c r="Q52" s="12">
        <v>28</v>
      </c>
      <c r="R52" s="12">
        <v>28</v>
      </c>
      <c r="S52" s="12">
        <v>28</v>
      </c>
      <c r="T52" s="12">
        <v>27</v>
      </c>
      <c r="U52" s="5">
        <v>333</v>
      </c>
      <c r="V52" s="5" t="s">
        <v>17</v>
      </c>
      <c r="W52" s="13">
        <v>46293</v>
      </c>
      <c r="X52" s="12">
        <v>1998</v>
      </c>
      <c r="Y52" s="12">
        <v>4</v>
      </c>
      <c r="Z52" s="15" t="s">
        <v>536</v>
      </c>
      <c r="AT52" s="4"/>
      <c r="AU52" s="4"/>
      <c r="AV52" s="1"/>
    </row>
    <row r="53" spans="1:48" x14ac:dyDescent="0.3">
      <c r="A53" s="14">
        <v>52</v>
      </c>
      <c r="B53" s="12">
        <v>126852</v>
      </c>
      <c r="C53" s="12" t="s">
        <v>83</v>
      </c>
      <c r="D53" s="12" t="s">
        <v>6</v>
      </c>
      <c r="E53" s="12">
        <v>24</v>
      </c>
      <c r="F53" s="12" t="s">
        <v>555</v>
      </c>
      <c r="G53" s="12" t="s">
        <v>35</v>
      </c>
      <c r="H53" s="12" t="s">
        <v>31</v>
      </c>
      <c r="I53" s="12">
        <v>27</v>
      </c>
      <c r="J53" s="12">
        <v>27</v>
      </c>
      <c r="K53" s="12">
        <v>27</v>
      </c>
      <c r="L53" s="12">
        <v>28</v>
      </c>
      <c r="M53" s="12">
        <v>27</v>
      </c>
      <c r="N53" s="12">
        <v>28</v>
      </c>
      <c r="O53" s="12">
        <v>27</v>
      </c>
      <c r="P53" s="12">
        <v>27</v>
      </c>
      <c r="Q53" s="12">
        <v>28</v>
      </c>
      <c r="R53" s="12">
        <v>28</v>
      </c>
      <c r="S53" s="12">
        <v>28</v>
      </c>
      <c r="T53" s="12">
        <v>27</v>
      </c>
      <c r="U53" s="5">
        <v>329</v>
      </c>
      <c r="V53" s="5" t="s">
        <v>17</v>
      </c>
      <c r="W53" s="13">
        <v>46275</v>
      </c>
      <c r="X53" s="12">
        <v>1974</v>
      </c>
      <c r="Y53" s="12">
        <v>4</v>
      </c>
      <c r="Z53" s="15" t="s">
        <v>536</v>
      </c>
      <c r="AT53" s="4"/>
      <c r="AU53" s="4"/>
      <c r="AV53" s="1"/>
    </row>
    <row r="54" spans="1:48" x14ac:dyDescent="0.3">
      <c r="A54" s="14">
        <v>53</v>
      </c>
      <c r="B54" s="12">
        <v>126853</v>
      </c>
      <c r="C54" s="12" t="s">
        <v>84</v>
      </c>
      <c r="D54" s="12" t="s">
        <v>6</v>
      </c>
      <c r="E54" s="12">
        <v>27</v>
      </c>
      <c r="F54" s="12" t="s">
        <v>556</v>
      </c>
      <c r="G54" s="12" t="s">
        <v>25</v>
      </c>
      <c r="H54" s="12" t="s">
        <v>31</v>
      </c>
      <c r="I54" s="12">
        <v>27</v>
      </c>
      <c r="J54" s="12">
        <v>27</v>
      </c>
      <c r="K54" s="12">
        <v>28</v>
      </c>
      <c r="L54" s="12">
        <v>27</v>
      </c>
      <c r="M54" s="12">
        <v>28</v>
      </c>
      <c r="N54" s="12">
        <v>27</v>
      </c>
      <c r="O54" s="12">
        <v>28</v>
      </c>
      <c r="P54" s="12">
        <v>27</v>
      </c>
      <c r="Q54" s="12">
        <v>27</v>
      </c>
      <c r="R54" s="12">
        <v>27</v>
      </c>
      <c r="S54" s="12">
        <v>27</v>
      </c>
      <c r="T54" s="12">
        <v>27</v>
      </c>
      <c r="U54" s="5">
        <v>327</v>
      </c>
      <c r="V54" s="5" t="s">
        <v>16</v>
      </c>
      <c r="W54" s="13">
        <v>46258</v>
      </c>
      <c r="X54" s="12">
        <v>1962</v>
      </c>
      <c r="Y54" s="12">
        <v>5</v>
      </c>
      <c r="Z54" s="15" t="s">
        <v>535</v>
      </c>
      <c r="AT54" s="4"/>
      <c r="AU54" s="4"/>
      <c r="AV54" s="1"/>
    </row>
    <row r="55" spans="1:48" x14ac:dyDescent="0.3">
      <c r="A55" s="14">
        <v>54</v>
      </c>
      <c r="B55" s="12">
        <v>126854</v>
      </c>
      <c r="C55" s="12" t="s">
        <v>85</v>
      </c>
      <c r="D55" s="12" t="s">
        <v>6</v>
      </c>
      <c r="E55" s="12">
        <v>24</v>
      </c>
      <c r="F55" s="12" t="s">
        <v>555</v>
      </c>
      <c r="G55" s="12" t="s">
        <v>35</v>
      </c>
      <c r="H55" s="12" t="s">
        <v>26</v>
      </c>
      <c r="I55" s="12">
        <v>28</v>
      </c>
      <c r="J55" s="12">
        <v>27</v>
      </c>
      <c r="K55" s="12">
        <v>27</v>
      </c>
      <c r="L55" s="12">
        <v>27</v>
      </c>
      <c r="M55" s="12">
        <v>28</v>
      </c>
      <c r="N55" s="12">
        <v>28</v>
      </c>
      <c r="O55" s="12">
        <v>28</v>
      </c>
      <c r="P55" s="12">
        <v>28</v>
      </c>
      <c r="Q55" s="12">
        <v>27</v>
      </c>
      <c r="R55" s="12">
        <v>28</v>
      </c>
      <c r="S55" s="12">
        <v>28</v>
      </c>
      <c r="T55" s="12">
        <v>28</v>
      </c>
      <c r="U55" s="5">
        <v>332</v>
      </c>
      <c r="V55" s="5" t="s">
        <v>12</v>
      </c>
      <c r="W55" s="13">
        <v>46114</v>
      </c>
      <c r="X55" s="12">
        <v>1992</v>
      </c>
      <c r="Y55" s="12">
        <v>3</v>
      </c>
      <c r="Z55" s="15" t="s">
        <v>536</v>
      </c>
      <c r="AT55" s="4"/>
      <c r="AU55" s="4"/>
      <c r="AV55" s="1"/>
    </row>
    <row r="56" spans="1:48" x14ac:dyDescent="0.3">
      <c r="A56" s="14">
        <v>55</v>
      </c>
      <c r="B56" s="12">
        <v>126855</v>
      </c>
      <c r="C56" s="12" t="s">
        <v>86</v>
      </c>
      <c r="D56" s="12" t="s">
        <v>6</v>
      </c>
      <c r="E56" s="12">
        <v>26</v>
      </c>
      <c r="F56" s="12" t="s">
        <v>556</v>
      </c>
      <c r="G56" s="12" t="s">
        <v>38</v>
      </c>
      <c r="H56" s="12" t="s">
        <v>28</v>
      </c>
      <c r="I56" s="12">
        <v>27</v>
      </c>
      <c r="J56" s="12">
        <v>27</v>
      </c>
      <c r="K56" s="12">
        <v>27</v>
      </c>
      <c r="L56" s="12">
        <v>27</v>
      </c>
      <c r="M56" s="12">
        <v>28</v>
      </c>
      <c r="N56" s="12">
        <v>27</v>
      </c>
      <c r="O56" s="12">
        <v>28</v>
      </c>
      <c r="P56" s="12">
        <v>27</v>
      </c>
      <c r="Q56" s="12">
        <v>28</v>
      </c>
      <c r="R56" s="12">
        <v>27</v>
      </c>
      <c r="S56" s="12">
        <v>27</v>
      </c>
      <c r="T56" s="12">
        <v>28</v>
      </c>
      <c r="U56" s="5">
        <v>328</v>
      </c>
      <c r="V56" s="5" t="s">
        <v>11</v>
      </c>
      <c r="W56" s="13">
        <v>46096</v>
      </c>
      <c r="X56" s="12">
        <v>1968</v>
      </c>
      <c r="Y56" s="12">
        <v>3</v>
      </c>
      <c r="Z56" s="15" t="s">
        <v>536</v>
      </c>
      <c r="AT56" s="4"/>
      <c r="AU56" s="4"/>
      <c r="AV56" s="1"/>
    </row>
    <row r="57" spans="1:48" x14ac:dyDescent="0.3">
      <c r="A57" s="14">
        <v>56</v>
      </c>
      <c r="B57" s="12">
        <v>126856</v>
      </c>
      <c r="C57" s="12" t="s">
        <v>87</v>
      </c>
      <c r="D57" s="12" t="s">
        <v>6</v>
      </c>
      <c r="E57" s="12">
        <v>26</v>
      </c>
      <c r="F57" s="12" t="s">
        <v>556</v>
      </c>
      <c r="G57" s="12" t="s">
        <v>38</v>
      </c>
      <c r="H57" s="12" t="s">
        <v>26</v>
      </c>
      <c r="I57" s="12">
        <v>28</v>
      </c>
      <c r="J57" s="12">
        <v>27</v>
      </c>
      <c r="K57" s="12">
        <v>27</v>
      </c>
      <c r="L57" s="12">
        <v>28</v>
      </c>
      <c r="M57" s="12">
        <v>28</v>
      </c>
      <c r="N57" s="12">
        <v>27</v>
      </c>
      <c r="O57" s="12">
        <v>28</v>
      </c>
      <c r="P57" s="12">
        <v>27</v>
      </c>
      <c r="Q57" s="12">
        <v>28</v>
      </c>
      <c r="R57" s="12">
        <v>28</v>
      </c>
      <c r="S57" s="12">
        <v>28</v>
      </c>
      <c r="T57" s="12">
        <v>27</v>
      </c>
      <c r="U57" s="5">
        <v>331</v>
      </c>
      <c r="V57" s="5" t="s">
        <v>11</v>
      </c>
      <c r="W57" s="13">
        <v>46106</v>
      </c>
      <c r="X57" s="12">
        <v>1986</v>
      </c>
      <c r="Y57" s="12">
        <v>5</v>
      </c>
      <c r="Z57" s="15" t="s">
        <v>536</v>
      </c>
      <c r="AT57" s="4"/>
      <c r="AU57" s="4"/>
      <c r="AV57" s="1"/>
    </row>
    <row r="58" spans="1:48" x14ac:dyDescent="0.3">
      <c r="A58" s="14">
        <v>57</v>
      </c>
      <c r="B58" s="12">
        <v>126857</v>
      </c>
      <c r="C58" s="12" t="s">
        <v>88</v>
      </c>
      <c r="D58" s="12" t="s">
        <v>6</v>
      </c>
      <c r="E58" s="12">
        <v>22</v>
      </c>
      <c r="F58" s="12" t="s">
        <v>555</v>
      </c>
      <c r="G58" s="12" t="s">
        <v>45</v>
      </c>
      <c r="H58" s="12" t="s">
        <v>31</v>
      </c>
      <c r="I58" s="12">
        <v>28</v>
      </c>
      <c r="J58" s="12">
        <v>27</v>
      </c>
      <c r="K58" s="12">
        <v>28</v>
      </c>
      <c r="L58" s="12">
        <v>28</v>
      </c>
      <c r="M58" s="12">
        <v>28</v>
      </c>
      <c r="N58" s="12">
        <v>28</v>
      </c>
      <c r="O58" s="12">
        <v>27</v>
      </c>
      <c r="P58" s="12">
        <v>28</v>
      </c>
      <c r="Q58" s="12">
        <v>27</v>
      </c>
      <c r="R58" s="12">
        <v>28</v>
      </c>
      <c r="S58" s="12">
        <v>28</v>
      </c>
      <c r="T58" s="12">
        <v>27</v>
      </c>
      <c r="U58" s="5">
        <v>332</v>
      </c>
      <c r="V58" s="5" t="s">
        <v>15</v>
      </c>
      <c r="W58" s="13">
        <v>46220</v>
      </c>
      <c r="X58" s="12">
        <v>1992</v>
      </c>
      <c r="Y58" s="12">
        <v>5</v>
      </c>
      <c r="Z58" s="15" t="s">
        <v>535</v>
      </c>
      <c r="AT58" s="4"/>
      <c r="AU58" s="4"/>
      <c r="AV58" s="1"/>
    </row>
    <row r="59" spans="1:48" x14ac:dyDescent="0.3">
      <c r="A59" s="14">
        <v>58</v>
      </c>
      <c r="B59" s="12">
        <v>126858</v>
      </c>
      <c r="C59" s="12" t="s">
        <v>89</v>
      </c>
      <c r="D59" s="12" t="s">
        <v>6</v>
      </c>
      <c r="E59" s="12">
        <v>25</v>
      </c>
      <c r="F59" s="12" t="s">
        <v>555</v>
      </c>
      <c r="G59" s="12" t="s">
        <v>45</v>
      </c>
      <c r="H59" s="12" t="s">
        <v>26</v>
      </c>
      <c r="I59" s="12">
        <v>28</v>
      </c>
      <c r="J59" s="12">
        <v>28</v>
      </c>
      <c r="K59" s="12">
        <v>28</v>
      </c>
      <c r="L59" s="12">
        <v>27</v>
      </c>
      <c r="M59" s="12">
        <v>27</v>
      </c>
      <c r="N59" s="12">
        <v>28</v>
      </c>
      <c r="O59" s="12">
        <v>27</v>
      </c>
      <c r="P59" s="12">
        <v>28</v>
      </c>
      <c r="Q59" s="12">
        <v>28</v>
      </c>
      <c r="R59" s="12">
        <v>28</v>
      </c>
      <c r="S59" s="12">
        <v>27</v>
      </c>
      <c r="T59" s="12">
        <v>28</v>
      </c>
      <c r="U59" s="5">
        <v>332</v>
      </c>
      <c r="V59" s="5" t="s">
        <v>12</v>
      </c>
      <c r="W59" s="13">
        <v>46130</v>
      </c>
      <c r="X59" s="12">
        <v>1992</v>
      </c>
      <c r="Y59" s="12">
        <v>3</v>
      </c>
      <c r="Z59" s="15" t="s">
        <v>536</v>
      </c>
      <c r="AT59" s="4"/>
      <c r="AU59" s="4"/>
      <c r="AV59" s="1"/>
    </row>
    <row r="60" spans="1:48" x14ac:dyDescent="0.3">
      <c r="A60" s="14">
        <v>59</v>
      </c>
      <c r="B60" s="12">
        <v>126859</v>
      </c>
      <c r="C60" s="12" t="s">
        <v>90</v>
      </c>
      <c r="D60" s="12" t="s">
        <v>7</v>
      </c>
      <c r="E60" s="12">
        <v>25</v>
      </c>
      <c r="F60" s="12" t="s">
        <v>555</v>
      </c>
      <c r="G60" s="12" t="s">
        <v>45</v>
      </c>
      <c r="H60" s="12" t="s">
        <v>31</v>
      </c>
      <c r="I60" s="12">
        <v>27</v>
      </c>
      <c r="J60" s="12">
        <v>27</v>
      </c>
      <c r="K60" s="12">
        <v>28</v>
      </c>
      <c r="L60" s="12">
        <v>28</v>
      </c>
      <c r="M60" s="12">
        <v>27</v>
      </c>
      <c r="N60" s="12">
        <v>28</v>
      </c>
      <c r="O60" s="12">
        <v>27</v>
      </c>
      <c r="P60" s="12">
        <v>27</v>
      </c>
      <c r="Q60" s="12">
        <v>27</v>
      </c>
      <c r="R60" s="12">
        <v>28</v>
      </c>
      <c r="S60" s="12">
        <v>28</v>
      </c>
      <c r="T60" s="12">
        <v>28</v>
      </c>
      <c r="U60" s="5">
        <v>330</v>
      </c>
      <c r="V60" s="5" t="s">
        <v>13</v>
      </c>
      <c r="W60" s="13">
        <v>46147</v>
      </c>
      <c r="X60" s="12">
        <v>1980</v>
      </c>
      <c r="Y60" s="12">
        <v>4</v>
      </c>
      <c r="Z60" s="15" t="s">
        <v>535</v>
      </c>
      <c r="AT60" s="4"/>
      <c r="AU60" s="4"/>
      <c r="AV60" s="1"/>
    </row>
    <row r="61" spans="1:48" x14ac:dyDescent="0.3">
      <c r="A61" s="14">
        <v>60</v>
      </c>
      <c r="B61" s="12">
        <v>126860</v>
      </c>
      <c r="C61" s="12" t="s">
        <v>91</v>
      </c>
      <c r="D61" s="12" t="s">
        <v>7</v>
      </c>
      <c r="E61" s="12">
        <v>27</v>
      </c>
      <c r="F61" s="12" t="s">
        <v>556</v>
      </c>
      <c r="G61" s="12" t="s">
        <v>35</v>
      </c>
      <c r="H61" s="12" t="s">
        <v>28</v>
      </c>
      <c r="I61" s="12">
        <v>27</v>
      </c>
      <c r="J61" s="12">
        <v>27</v>
      </c>
      <c r="K61" s="12">
        <v>27</v>
      </c>
      <c r="L61" s="12">
        <v>27</v>
      </c>
      <c r="M61" s="12">
        <v>27</v>
      </c>
      <c r="N61" s="12">
        <v>28</v>
      </c>
      <c r="O61" s="12">
        <v>27</v>
      </c>
      <c r="P61" s="12">
        <v>27</v>
      </c>
      <c r="Q61" s="12">
        <v>27</v>
      </c>
      <c r="R61" s="12">
        <v>27</v>
      </c>
      <c r="S61" s="12">
        <v>28</v>
      </c>
      <c r="T61" s="12">
        <v>27</v>
      </c>
      <c r="U61" s="5">
        <v>326</v>
      </c>
      <c r="V61" s="5" t="s">
        <v>10</v>
      </c>
      <c r="W61" s="13">
        <v>46066</v>
      </c>
      <c r="X61" s="12">
        <v>1956</v>
      </c>
      <c r="Y61" s="12">
        <v>5</v>
      </c>
      <c r="Z61" s="15" t="s">
        <v>535</v>
      </c>
      <c r="AT61" s="4"/>
      <c r="AU61" s="4"/>
      <c r="AV61" s="1"/>
    </row>
    <row r="62" spans="1:48" x14ac:dyDescent="0.3">
      <c r="A62" s="14">
        <v>61</v>
      </c>
      <c r="B62" s="12">
        <v>126861</v>
      </c>
      <c r="C62" s="12" t="s">
        <v>92</v>
      </c>
      <c r="D62" s="12" t="s">
        <v>6</v>
      </c>
      <c r="E62" s="12">
        <v>25</v>
      </c>
      <c r="F62" s="12" t="s">
        <v>555</v>
      </c>
      <c r="G62" s="12" t="s">
        <v>35</v>
      </c>
      <c r="H62" s="12" t="s">
        <v>26</v>
      </c>
      <c r="I62" s="12">
        <v>28</v>
      </c>
      <c r="J62" s="12">
        <v>27</v>
      </c>
      <c r="K62" s="12">
        <v>27</v>
      </c>
      <c r="L62" s="12">
        <v>27</v>
      </c>
      <c r="M62" s="12">
        <v>27</v>
      </c>
      <c r="N62" s="12">
        <v>27</v>
      </c>
      <c r="O62" s="12">
        <v>27</v>
      </c>
      <c r="P62" s="12">
        <v>27</v>
      </c>
      <c r="Q62" s="12">
        <v>27</v>
      </c>
      <c r="R62" s="12">
        <v>28</v>
      </c>
      <c r="S62" s="12">
        <v>28</v>
      </c>
      <c r="T62" s="12">
        <v>27</v>
      </c>
      <c r="U62" s="5">
        <v>327</v>
      </c>
      <c r="V62" s="5" t="s">
        <v>11</v>
      </c>
      <c r="W62" s="13">
        <v>46082</v>
      </c>
      <c r="X62" s="12">
        <v>1962</v>
      </c>
      <c r="Y62" s="12">
        <v>4</v>
      </c>
      <c r="Z62" s="15" t="s">
        <v>535</v>
      </c>
      <c r="AT62" s="4"/>
      <c r="AU62" s="4"/>
      <c r="AV62" s="1"/>
    </row>
    <row r="63" spans="1:48" x14ac:dyDescent="0.3">
      <c r="A63" s="14">
        <v>62</v>
      </c>
      <c r="B63" s="12">
        <v>126862</v>
      </c>
      <c r="C63" s="12" t="s">
        <v>93</v>
      </c>
      <c r="D63" s="12" t="s">
        <v>6</v>
      </c>
      <c r="E63" s="12">
        <v>27</v>
      </c>
      <c r="F63" s="12" t="s">
        <v>556</v>
      </c>
      <c r="G63" s="12" t="s">
        <v>35</v>
      </c>
      <c r="H63" s="12" t="s">
        <v>28</v>
      </c>
      <c r="I63" s="12">
        <v>28</v>
      </c>
      <c r="J63" s="12">
        <v>28</v>
      </c>
      <c r="K63" s="12">
        <v>27</v>
      </c>
      <c r="L63" s="12">
        <v>28</v>
      </c>
      <c r="M63" s="12">
        <v>28</v>
      </c>
      <c r="N63" s="12">
        <v>27</v>
      </c>
      <c r="O63" s="12">
        <v>28</v>
      </c>
      <c r="P63" s="12">
        <v>28</v>
      </c>
      <c r="Q63" s="12">
        <v>28</v>
      </c>
      <c r="R63" s="12">
        <v>27</v>
      </c>
      <c r="S63" s="12">
        <v>28</v>
      </c>
      <c r="T63" s="12">
        <v>27</v>
      </c>
      <c r="U63" s="5">
        <v>332</v>
      </c>
      <c r="V63" s="5" t="s">
        <v>9</v>
      </c>
      <c r="W63" s="13">
        <v>46040</v>
      </c>
      <c r="X63" s="12">
        <v>1992</v>
      </c>
      <c r="Y63" s="12">
        <v>3</v>
      </c>
      <c r="Z63" s="15" t="s">
        <v>536</v>
      </c>
      <c r="AT63" s="4"/>
      <c r="AU63" s="4"/>
      <c r="AV63" s="1"/>
    </row>
    <row r="64" spans="1:48" x14ac:dyDescent="0.3">
      <c r="A64" s="14">
        <v>63</v>
      </c>
      <c r="B64" s="12">
        <v>126863</v>
      </c>
      <c r="C64" s="12" t="s">
        <v>94</v>
      </c>
      <c r="D64" s="12" t="s">
        <v>6</v>
      </c>
      <c r="E64" s="12">
        <v>19</v>
      </c>
      <c r="F64" s="12" t="s">
        <v>555</v>
      </c>
      <c r="G64" s="12" t="s">
        <v>45</v>
      </c>
      <c r="H64" s="12" t="s">
        <v>31</v>
      </c>
      <c r="I64" s="12">
        <v>28</v>
      </c>
      <c r="J64" s="12">
        <v>27</v>
      </c>
      <c r="K64" s="12">
        <v>28</v>
      </c>
      <c r="L64" s="12">
        <v>28</v>
      </c>
      <c r="M64" s="12">
        <v>27</v>
      </c>
      <c r="N64" s="12">
        <v>27</v>
      </c>
      <c r="O64" s="12">
        <v>27</v>
      </c>
      <c r="P64" s="12">
        <v>28</v>
      </c>
      <c r="Q64" s="12">
        <v>27</v>
      </c>
      <c r="R64" s="12">
        <v>27</v>
      </c>
      <c r="S64" s="12">
        <v>28</v>
      </c>
      <c r="T64" s="12">
        <v>28</v>
      </c>
      <c r="U64" s="5">
        <v>330</v>
      </c>
      <c r="V64" s="5" t="s">
        <v>15</v>
      </c>
      <c r="W64" s="13">
        <v>46228</v>
      </c>
      <c r="X64" s="12">
        <v>1980</v>
      </c>
      <c r="Y64" s="12">
        <v>5</v>
      </c>
      <c r="Z64" s="15" t="s">
        <v>536</v>
      </c>
      <c r="AT64" s="4"/>
      <c r="AU64" s="4"/>
      <c r="AV64" s="1"/>
    </row>
    <row r="65" spans="1:48" x14ac:dyDescent="0.3">
      <c r="A65" s="14">
        <v>64</v>
      </c>
      <c r="B65" s="12">
        <v>126864</v>
      </c>
      <c r="C65" s="12" t="s">
        <v>95</v>
      </c>
      <c r="D65" s="12" t="s">
        <v>6</v>
      </c>
      <c r="E65" s="12">
        <v>25</v>
      </c>
      <c r="F65" s="12" t="s">
        <v>555</v>
      </c>
      <c r="G65" s="12" t="s">
        <v>35</v>
      </c>
      <c r="H65" s="12" t="s">
        <v>31</v>
      </c>
      <c r="I65" s="12">
        <v>28</v>
      </c>
      <c r="J65" s="12">
        <v>27</v>
      </c>
      <c r="K65" s="12">
        <v>27</v>
      </c>
      <c r="L65" s="12">
        <v>28</v>
      </c>
      <c r="M65" s="12">
        <v>28</v>
      </c>
      <c r="N65" s="12">
        <v>28</v>
      </c>
      <c r="O65" s="12">
        <v>28</v>
      </c>
      <c r="P65" s="12">
        <v>28</v>
      </c>
      <c r="Q65" s="12">
        <v>27</v>
      </c>
      <c r="R65" s="12">
        <v>27</v>
      </c>
      <c r="S65" s="12">
        <v>27</v>
      </c>
      <c r="T65" s="12">
        <v>28</v>
      </c>
      <c r="U65" s="5">
        <v>331</v>
      </c>
      <c r="V65" s="5" t="s">
        <v>12</v>
      </c>
      <c r="W65" s="13">
        <v>46137</v>
      </c>
      <c r="X65" s="12">
        <v>1986</v>
      </c>
      <c r="Y65" s="12">
        <v>3</v>
      </c>
      <c r="Z65" s="15" t="s">
        <v>535</v>
      </c>
      <c r="AT65" s="4"/>
      <c r="AU65" s="4"/>
      <c r="AV65" s="1"/>
    </row>
    <row r="66" spans="1:48" x14ac:dyDescent="0.3">
      <c r="A66" s="14">
        <v>65</v>
      </c>
      <c r="B66" s="12">
        <v>126865</v>
      </c>
      <c r="C66" s="12" t="s">
        <v>96</v>
      </c>
      <c r="D66" s="12" t="s">
        <v>6</v>
      </c>
      <c r="E66" s="12">
        <v>21</v>
      </c>
      <c r="F66" s="12" t="s">
        <v>555</v>
      </c>
      <c r="G66" s="12" t="s">
        <v>30</v>
      </c>
      <c r="H66" s="12" t="s">
        <v>28</v>
      </c>
      <c r="I66" s="12">
        <v>27</v>
      </c>
      <c r="J66" s="12">
        <v>28</v>
      </c>
      <c r="K66" s="12">
        <v>28</v>
      </c>
      <c r="L66" s="12">
        <v>27</v>
      </c>
      <c r="M66" s="12">
        <v>27</v>
      </c>
      <c r="N66" s="12">
        <v>27</v>
      </c>
      <c r="O66" s="12">
        <v>27</v>
      </c>
      <c r="P66" s="12">
        <v>28</v>
      </c>
      <c r="Q66" s="12">
        <v>28</v>
      </c>
      <c r="R66" s="12">
        <v>28</v>
      </c>
      <c r="S66" s="12">
        <v>28</v>
      </c>
      <c r="T66" s="12">
        <v>28</v>
      </c>
      <c r="U66" s="5">
        <v>331</v>
      </c>
      <c r="V66" s="5" t="s">
        <v>17</v>
      </c>
      <c r="W66" s="13">
        <v>46295</v>
      </c>
      <c r="X66" s="12">
        <v>1986</v>
      </c>
      <c r="Y66" s="12">
        <v>3</v>
      </c>
      <c r="Z66" s="15" t="s">
        <v>535</v>
      </c>
      <c r="AT66" s="4"/>
      <c r="AU66" s="4"/>
      <c r="AV66" s="1"/>
    </row>
    <row r="67" spans="1:48" x14ac:dyDescent="0.3">
      <c r="A67" s="14">
        <v>66</v>
      </c>
      <c r="B67" s="12">
        <v>126866</v>
      </c>
      <c r="C67" s="12" t="s">
        <v>97</v>
      </c>
      <c r="D67" s="12" t="s">
        <v>7</v>
      </c>
      <c r="E67" s="12">
        <v>18</v>
      </c>
      <c r="F67" s="12" t="s">
        <v>555</v>
      </c>
      <c r="G67" s="12" t="s">
        <v>38</v>
      </c>
      <c r="H67" s="12" t="s">
        <v>26</v>
      </c>
      <c r="I67" s="12">
        <v>27</v>
      </c>
      <c r="J67" s="12">
        <v>27</v>
      </c>
      <c r="K67" s="12">
        <v>28</v>
      </c>
      <c r="L67" s="12">
        <v>27</v>
      </c>
      <c r="M67" s="12">
        <v>28</v>
      </c>
      <c r="N67" s="12">
        <v>28</v>
      </c>
      <c r="O67" s="12">
        <v>28</v>
      </c>
      <c r="P67" s="12">
        <v>28</v>
      </c>
      <c r="Q67" s="12">
        <v>28</v>
      </c>
      <c r="R67" s="12">
        <v>28</v>
      </c>
      <c r="S67" s="12">
        <v>27</v>
      </c>
      <c r="T67" s="12">
        <v>27</v>
      </c>
      <c r="U67" s="5">
        <v>331</v>
      </c>
      <c r="V67" s="5" t="s">
        <v>9</v>
      </c>
      <c r="W67" s="13">
        <v>46046</v>
      </c>
      <c r="X67" s="12">
        <v>1986</v>
      </c>
      <c r="Y67" s="12">
        <v>5</v>
      </c>
      <c r="Z67" s="15" t="s">
        <v>535</v>
      </c>
      <c r="AT67" s="4"/>
      <c r="AU67" s="4"/>
      <c r="AV67" s="1"/>
    </row>
    <row r="68" spans="1:48" x14ac:dyDescent="0.3">
      <c r="A68" s="14">
        <v>67</v>
      </c>
      <c r="B68" s="12">
        <v>126867</v>
      </c>
      <c r="C68" s="12" t="s">
        <v>98</v>
      </c>
      <c r="D68" s="12" t="s">
        <v>6</v>
      </c>
      <c r="E68" s="12">
        <v>19</v>
      </c>
      <c r="F68" s="12" t="s">
        <v>555</v>
      </c>
      <c r="G68" s="12" t="s">
        <v>35</v>
      </c>
      <c r="H68" s="12" t="s">
        <v>28</v>
      </c>
      <c r="I68" s="12">
        <v>28</v>
      </c>
      <c r="J68" s="12">
        <v>28</v>
      </c>
      <c r="K68" s="12">
        <v>28</v>
      </c>
      <c r="L68" s="12">
        <v>27</v>
      </c>
      <c r="M68" s="12">
        <v>27</v>
      </c>
      <c r="N68" s="12">
        <v>28</v>
      </c>
      <c r="O68" s="12">
        <v>27</v>
      </c>
      <c r="P68" s="12">
        <v>28</v>
      </c>
      <c r="Q68" s="12">
        <v>28</v>
      </c>
      <c r="R68" s="12">
        <v>28</v>
      </c>
      <c r="S68" s="12">
        <v>28</v>
      </c>
      <c r="T68" s="12">
        <v>28</v>
      </c>
      <c r="U68" s="5">
        <v>333</v>
      </c>
      <c r="V68" s="5" t="s">
        <v>9</v>
      </c>
      <c r="W68" s="13">
        <v>46031</v>
      </c>
      <c r="X68" s="12">
        <v>1998</v>
      </c>
      <c r="Y68" s="12">
        <v>4</v>
      </c>
      <c r="Z68" s="15" t="s">
        <v>535</v>
      </c>
      <c r="AT68" s="4"/>
      <c r="AU68" s="4"/>
      <c r="AV68" s="1"/>
    </row>
    <row r="69" spans="1:48" x14ac:dyDescent="0.3">
      <c r="A69" s="14">
        <v>68</v>
      </c>
      <c r="B69" s="12">
        <v>126868</v>
      </c>
      <c r="C69" s="12" t="s">
        <v>99</v>
      </c>
      <c r="D69" s="12" t="s">
        <v>6</v>
      </c>
      <c r="E69" s="12">
        <v>25</v>
      </c>
      <c r="F69" s="12" t="s">
        <v>555</v>
      </c>
      <c r="G69" s="12" t="s">
        <v>35</v>
      </c>
      <c r="H69" s="12" t="s">
        <v>28</v>
      </c>
      <c r="I69" s="12">
        <v>28</v>
      </c>
      <c r="J69" s="12">
        <v>28</v>
      </c>
      <c r="K69" s="12">
        <v>28</v>
      </c>
      <c r="L69" s="12">
        <v>27</v>
      </c>
      <c r="M69" s="12">
        <v>27</v>
      </c>
      <c r="N69" s="12">
        <v>27</v>
      </c>
      <c r="O69" s="12">
        <v>27</v>
      </c>
      <c r="P69" s="12">
        <v>27</v>
      </c>
      <c r="Q69" s="12">
        <v>27</v>
      </c>
      <c r="R69" s="12">
        <v>28</v>
      </c>
      <c r="S69" s="12">
        <v>28</v>
      </c>
      <c r="T69" s="12">
        <v>28</v>
      </c>
      <c r="U69" s="5">
        <v>330</v>
      </c>
      <c r="V69" s="5" t="s">
        <v>12</v>
      </c>
      <c r="W69" s="13">
        <v>46138</v>
      </c>
      <c r="X69" s="12">
        <v>1980</v>
      </c>
      <c r="Y69" s="12">
        <v>5</v>
      </c>
      <c r="Z69" s="15" t="s">
        <v>536</v>
      </c>
      <c r="AT69" s="4"/>
      <c r="AU69" s="4"/>
      <c r="AV69" s="1"/>
    </row>
    <row r="70" spans="1:48" x14ac:dyDescent="0.3">
      <c r="A70" s="14">
        <v>69</v>
      </c>
      <c r="B70" s="12">
        <v>126869</v>
      </c>
      <c r="C70" s="12" t="s">
        <v>100</v>
      </c>
      <c r="D70" s="12" t="s">
        <v>6</v>
      </c>
      <c r="E70" s="12">
        <v>22</v>
      </c>
      <c r="F70" s="12" t="s">
        <v>555</v>
      </c>
      <c r="G70" s="12" t="s">
        <v>25</v>
      </c>
      <c r="H70" s="12" t="s">
        <v>26</v>
      </c>
      <c r="I70" s="12">
        <v>28</v>
      </c>
      <c r="J70" s="12">
        <v>27</v>
      </c>
      <c r="K70" s="12">
        <v>28</v>
      </c>
      <c r="L70" s="12">
        <v>27</v>
      </c>
      <c r="M70" s="12">
        <v>28</v>
      </c>
      <c r="N70" s="12">
        <v>27</v>
      </c>
      <c r="O70" s="12">
        <v>27</v>
      </c>
      <c r="P70" s="12">
        <v>28</v>
      </c>
      <c r="Q70" s="12">
        <v>28</v>
      </c>
      <c r="R70" s="12">
        <v>27</v>
      </c>
      <c r="S70" s="12">
        <v>28</v>
      </c>
      <c r="T70" s="12">
        <v>27</v>
      </c>
      <c r="U70" s="5">
        <v>330</v>
      </c>
      <c r="V70" s="5" t="s">
        <v>9</v>
      </c>
      <c r="W70" s="13">
        <v>46048</v>
      </c>
      <c r="X70" s="12">
        <v>1980</v>
      </c>
      <c r="Y70" s="12">
        <v>5</v>
      </c>
      <c r="Z70" s="15" t="s">
        <v>536</v>
      </c>
      <c r="AT70" s="4"/>
      <c r="AU70" s="4"/>
      <c r="AV70" s="1"/>
    </row>
    <row r="71" spans="1:48" x14ac:dyDescent="0.3">
      <c r="A71" s="14">
        <v>70</v>
      </c>
      <c r="B71" s="12">
        <v>126870</v>
      </c>
      <c r="C71" s="12" t="s">
        <v>101</v>
      </c>
      <c r="D71" s="12" t="s">
        <v>7</v>
      </c>
      <c r="E71" s="12">
        <v>27</v>
      </c>
      <c r="F71" s="12" t="s">
        <v>556</v>
      </c>
      <c r="G71" s="12" t="s">
        <v>25</v>
      </c>
      <c r="H71" s="12" t="s">
        <v>26</v>
      </c>
      <c r="I71" s="12">
        <v>28</v>
      </c>
      <c r="J71" s="12">
        <v>27</v>
      </c>
      <c r="K71" s="12">
        <v>28</v>
      </c>
      <c r="L71" s="12">
        <v>28</v>
      </c>
      <c r="M71" s="12">
        <v>27</v>
      </c>
      <c r="N71" s="12">
        <v>27</v>
      </c>
      <c r="O71" s="12">
        <v>27</v>
      </c>
      <c r="P71" s="12">
        <v>27</v>
      </c>
      <c r="Q71" s="12">
        <v>27</v>
      </c>
      <c r="R71" s="12">
        <v>27</v>
      </c>
      <c r="S71" s="12">
        <v>27</v>
      </c>
      <c r="T71" s="12">
        <v>28</v>
      </c>
      <c r="U71" s="5">
        <v>328</v>
      </c>
      <c r="V71" s="5" t="s">
        <v>14</v>
      </c>
      <c r="W71" s="13">
        <v>46194</v>
      </c>
      <c r="X71" s="12">
        <v>1968</v>
      </c>
      <c r="Y71" s="12">
        <v>3</v>
      </c>
      <c r="Z71" s="15" t="s">
        <v>535</v>
      </c>
      <c r="AT71" s="4"/>
      <c r="AU71" s="4"/>
      <c r="AV71" s="1"/>
    </row>
    <row r="72" spans="1:48" x14ac:dyDescent="0.3">
      <c r="A72" s="14">
        <v>71</v>
      </c>
      <c r="B72" s="12">
        <v>126871</v>
      </c>
      <c r="C72" s="12" t="s">
        <v>102</v>
      </c>
      <c r="D72" s="12" t="s">
        <v>6</v>
      </c>
      <c r="E72" s="12">
        <v>18</v>
      </c>
      <c r="F72" s="12" t="s">
        <v>555</v>
      </c>
      <c r="G72" s="12" t="s">
        <v>30</v>
      </c>
      <c r="H72" s="12" t="s">
        <v>31</v>
      </c>
      <c r="I72" s="12">
        <v>27</v>
      </c>
      <c r="J72" s="12">
        <v>27</v>
      </c>
      <c r="K72" s="12">
        <v>28</v>
      </c>
      <c r="L72" s="12">
        <v>28</v>
      </c>
      <c r="M72" s="12">
        <v>27</v>
      </c>
      <c r="N72" s="12">
        <v>28</v>
      </c>
      <c r="O72" s="12">
        <v>28</v>
      </c>
      <c r="P72" s="12">
        <v>28</v>
      </c>
      <c r="Q72" s="12">
        <v>28</v>
      </c>
      <c r="R72" s="12">
        <v>27</v>
      </c>
      <c r="S72" s="12">
        <v>27</v>
      </c>
      <c r="T72" s="12">
        <v>28</v>
      </c>
      <c r="U72" s="5">
        <v>331</v>
      </c>
      <c r="V72" s="5" t="s">
        <v>10</v>
      </c>
      <c r="W72" s="13">
        <v>46055</v>
      </c>
      <c r="X72" s="12">
        <v>1986</v>
      </c>
      <c r="Y72" s="12">
        <v>3</v>
      </c>
      <c r="Z72" s="15" t="s">
        <v>536</v>
      </c>
      <c r="AT72" s="4"/>
      <c r="AU72" s="4"/>
      <c r="AV72" s="1"/>
    </row>
    <row r="73" spans="1:48" x14ac:dyDescent="0.3">
      <c r="A73" s="14">
        <v>72</v>
      </c>
      <c r="B73" s="12">
        <v>126872</v>
      </c>
      <c r="C73" s="12" t="s">
        <v>103</v>
      </c>
      <c r="D73" s="12" t="s">
        <v>7</v>
      </c>
      <c r="E73" s="12">
        <v>19</v>
      </c>
      <c r="F73" s="12" t="s">
        <v>555</v>
      </c>
      <c r="G73" s="12" t="s">
        <v>35</v>
      </c>
      <c r="H73" s="12" t="s">
        <v>26</v>
      </c>
      <c r="I73" s="12">
        <v>27</v>
      </c>
      <c r="J73" s="12">
        <v>28</v>
      </c>
      <c r="K73" s="12">
        <v>27</v>
      </c>
      <c r="L73" s="12">
        <v>27</v>
      </c>
      <c r="M73" s="12">
        <v>27</v>
      </c>
      <c r="N73" s="12">
        <v>27</v>
      </c>
      <c r="O73" s="12">
        <v>27</v>
      </c>
      <c r="P73" s="12">
        <v>28</v>
      </c>
      <c r="Q73" s="12">
        <v>27</v>
      </c>
      <c r="R73" s="12">
        <v>27</v>
      </c>
      <c r="S73" s="12">
        <v>28</v>
      </c>
      <c r="T73" s="12">
        <v>27</v>
      </c>
      <c r="U73" s="5">
        <v>327</v>
      </c>
      <c r="V73" s="5" t="s">
        <v>16</v>
      </c>
      <c r="W73" s="13">
        <v>46252</v>
      </c>
      <c r="X73" s="12">
        <v>1962</v>
      </c>
      <c r="Y73" s="12">
        <v>5</v>
      </c>
      <c r="Z73" s="15" t="s">
        <v>536</v>
      </c>
      <c r="AT73" s="4"/>
      <c r="AU73" s="4"/>
      <c r="AV73" s="1"/>
    </row>
    <row r="74" spans="1:48" x14ac:dyDescent="0.3">
      <c r="A74" s="14">
        <v>73</v>
      </c>
      <c r="B74" s="12">
        <v>126873</v>
      </c>
      <c r="C74" s="12" t="s">
        <v>104</v>
      </c>
      <c r="D74" s="12" t="s">
        <v>7</v>
      </c>
      <c r="E74" s="12">
        <v>23</v>
      </c>
      <c r="F74" s="12" t="s">
        <v>555</v>
      </c>
      <c r="G74" s="12" t="s">
        <v>35</v>
      </c>
      <c r="H74" s="12" t="s">
        <v>31</v>
      </c>
      <c r="I74" s="12">
        <v>27</v>
      </c>
      <c r="J74" s="12">
        <v>27</v>
      </c>
      <c r="K74" s="12">
        <v>28</v>
      </c>
      <c r="L74" s="12">
        <v>27</v>
      </c>
      <c r="M74" s="12">
        <v>27</v>
      </c>
      <c r="N74" s="12">
        <v>27</v>
      </c>
      <c r="O74" s="12">
        <v>28</v>
      </c>
      <c r="P74" s="12">
        <v>27</v>
      </c>
      <c r="Q74" s="12">
        <v>28</v>
      </c>
      <c r="R74" s="12">
        <v>28</v>
      </c>
      <c r="S74" s="12">
        <v>28</v>
      </c>
      <c r="T74" s="12">
        <v>28</v>
      </c>
      <c r="U74" s="5">
        <v>330</v>
      </c>
      <c r="V74" s="5" t="s">
        <v>16</v>
      </c>
      <c r="W74" s="13">
        <v>46247</v>
      </c>
      <c r="X74" s="12">
        <v>1980</v>
      </c>
      <c r="Y74" s="12">
        <v>3</v>
      </c>
      <c r="Z74" s="15" t="s">
        <v>535</v>
      </c>
      <c r="AT74" s="4"/>
      <c r="AU74" s="4"/>
      <c r="AV74" s="1"/>
    </row>
    <row r="75" spans="1:48" x14ac:dyDescent="0.3">
      <c r="A75" s="14">
        <v>74</v>
      </c>
      <c r="B75" s="12">
        <v>126874</v>
      </c>
      <c r="C75" s="12" t="s">
        <v>105</v>
      </c>
      <c r="D75" s="12" t="s">
        <v>6</v>
      </c>
      <c r="E75" s="12">
        <v>26</v>
      </c>
      <c r="F75" s="12" t="s">
        <v>556</v>
      </c>
      <c r="G75" s="12" t="s">
        <v>30</v>
      </c>
      <c r="H75" s="12" t="s">
        <v>28</v>
      </c>
      <c r="I75" s="12">
        <v>28</v>
      </c>
      <c r="J75" s="12">
        <v>28</v>
      </c>
      <c r="K75" s="12">
        <v>28</v>
      </c>
      <c r="L75" s="12">
        <v>28</v>
      </c>
      <c r="M75" s="12">
        <v>28</v>
      </c>
      <c r="N75" s="12">
        <v>28</v>
      </c>
      <c r="O75" s="12">
        <v>27</v>
      </c>
      <c r="P75" s="12">
        <v>27</v>
      </c>
      <c r="Q75" s="12">
        <v>28</v>
      </c>
      <c r="R75" s="12">
        <v>28</v>
      </c>
      <c r="S75" s="12">
        <v>28</v>
      </c>
      <c r="T75" s="12">
        <v>27</v>
      </c>
      <c r="U75" s="5">
        <v>333</v>
      </c>
      <c r="V75" s="5" t="s">
        <v>17</v>
      </c>
      <c r="W75" s="13">
        <v>46281</v>
      </c>
      <c r="X75" s="12">
        <v>1998</v>
      </c>
      <c r="Y75" s="12">
        <v>5</v>
      </c>
      <c r="Z75" s="15" t="s">
        <v>536</v>
      </c>
      <c r="AT75" s="4"/>
      <c r="AU75" s="4"/>
      <c r="AV75" s="1"/>
    </row>
    <row r="76" spans="1:48" x14ac:dyDescent="0.3">
      <c r="A76" s="14">
        <v>75</v>
      </c>
      <c r="B76" s="12">
        <v>126875</v>
      </c>
      <c r="C76" s="12" t="s">
        <v>106</v>
      </c>
      <c r="D76" s="12" t="s">
        <v>6</v>
      </c>
      <c r="E76" s="12">
        <v>20</v>
      </c>
      <c r="F76" s="12" t="s">
        <v>555</v>
      </c>
      <c r="G76" s="12" t="s">
        <v>30</v>
      </c>
      <c r="H76" s="12" t="s">
        <v>28</v>
      </c>
      <c r="I76" s="12">
        <v>28</v>
      </c>
      <c r="J76" s="12">
        <v>27</v>
      </c>
      <c r="K76" s="12">
        <v>28</v>
      </c>
      <c r="L76" s="12">
        <v>27</v>
      </c>
      <c r="M76" s="12">
        <v>28</v>
      </c>
      <c r="N76" s="12">
        <v>28</v>
      </c>
      <c r="O76" s="12">
        <v>28</v>
      </c>
      <c r="P76" s="12">
        <v>27</v>
      </c>
      <c r="Q76" s="12">
        <v>27</v>
      </c>
      <c r="R76" s="12">
        <v>28</v>
      </c>
      <c r="S76" s="12">
        <v>28</v>
      </c>
      <c r="T76" s="12">
        <v>27</v>
      </c>
      <c r="U76" s="5">
        <v>331</v>
      </c>
      <c r="V76" s="5" t="s">
        <v>10</v>
      </c>
      <c r="W76" s="13">
        <v>46067</v>
      </c>
      <c r="X76" s="12">
        <v>1986</v>
      </c>
      <c r="Y76" s="12">
        <v>4</v>
      </c>
      <c r="Z76" s="15" t="s">
        <v>535</v>
      </c>
      <c r="AT76" s="4"/>
      <c r="AU76" s="4"/>
      <c r="AV76" s="1"/>
    </row>
    <row r="77" spans="1:48" x14ac:dyDescent="0.3">
      <c r="A77" s="14">
        <v>76</v>
      </c>
      <c r="B77" s="12">
        <v>126876</v>
      </c>
      <c r="C77" s="12" t="s">
        <v>107</v>
      </c>
      <c r="D77" s="12" t="s">
        <v>6</v>
      </c>
      <c r="E77" s="12">
        <v>21</v>
      </c>
      <c r="F77" s="12" t="s">
        <v>555</v>
      </c>
      <c r="G77" s="12" t="s">
        <v>45</v>
      </c>
      <c r="H77" s="12" t="s">
        <v>28</v>
      </c>
      <c r="I77" s="12">
        <v>27</v>
      </c>
      <c r="J77" s="12">
        <v>27</v>
      </c>
      <c r="K77" s="12">
        <v>28</v>
      </c>
      <c r="L77" s="12">
        <v>27</v>
      </c>
      <c r="M77" s="12">
        <v>27</v>
      </c>
      <c r="N77" s="12">
        <v>27</v>
      </c>
      <c r="O77" s="12">
        <v>27</v>
      </c>
      <c r="P77" s="12">
        <v>28</v>
      </c>
      <c r="Q77" s="12">
        <v>28</v>
      </c>
      <c r="R77" s="12">
        <v>28</v>
      </c>
      <c r="S77" s="12">
        <v>27</v>
      </c>
      <c r="T77" s="12">
        <v>28</v>
      </c>
      <c r="U77" s="5">
        <v>329</v>
      </c>
      <c r="V77" s="5" t="s">
        <v>12</v>
      </c>
      <c r="W77" s="13">
        <v>46120</v>
      </c>
      <c r="X77" s="12">
        <v>1974</v>
      </c>
      <c r="Y77" s="12">
        <v>4</v>
      </c>
      <c r="Z77" s="15" t="s">
        <v>535</v>
      </c>
      <c r="AT77" s="4"/>
      <c r="AU77" s="4"/>
      <c r="AV77" s="1"/>
    </row>
    <row r="78" spans="1:48" x14ac:dyDescent="0.3">
      <c r="A78" s="14">
        <v>77</v>
      </c>
      <c r="B78" s="12">
        <v>126877</v>
      </c>
      <c r="C78" s="12" t="s">
        <v>108</v>
      </c>
      <c r="D78" s="12" t="s">
        <v>6</v>
      </c>
      <c r="E78" s="12">
        <v>19</v>
      </c>
      <c r="F78" s="12" t="s">
        <v>555</v>
      </c>
      <c r="G78" s="12" t="s">
        <v>38</v>
      </c>
      <c r="H78" s="12" t="s">
        <v>28</v>
      </c>
      <c r="I78" s="12">
        <v>27</v>
      </c>
      <c r="J78" s="12">
        <v>28</v>
      </c>
      <c r="K78" s="12">
        <v>28</v>
      </c>
      <c r="L78" s="12">
        <v>28</v>
      </c>
      <c r="M78" s="12">
        <v>27</v>
      </c>
      <c r="N78" s="12">
        <v>27</v>
      </c>
      <c r="O78" s="12">
        <v>27</v>
      </c>
      <c r="P78" s="12">
        <v>27</v>
      </c>
      <c r="Q78" s="12">
        <v>27</v>
      </c>
      <c r="R78" s="12">
        <v>27</v>
      </c>
      <c r="S78" s="12">
        <v>28</v>
      </c>
      <c r="T78" s="12">
        <v>28</v>
      </c>
      <c r="U78" s="5">
        <v>329</v>
      </c>
      <c r="V78" s="5" t="s">
        <v>11</v>
      </c>
      <c r="W78" s="13">
        <v>46095</v>
      </c>
      <c r="X78" s="12">
        <v>1974</v>
      </c>
      <c r="Y78" s="12">
        <v>3</v>
      </c>
      <c r="Z78" s="15" t="s">
        <v>536</v>
      </c>
      <c r="AT78" s="4"/>
      <c r="AU78" s="4"/>
      <c r="AV78" s="1"/>
    </row>
    <row r="79" spans="1:48" x14ac:dyDescent="0.3">
      <c r="A79" s="14">
        <v>78</v>
      </c>
      <c r="B79" s="12">
        <v>126878</v>
      </c>
      <c r="C79" s="12" t="s">
        <v>109</v>
      </c>
      <c r="D79" s="12" t="s">
        <v>6</v>
      </c>
      <c r="E79" s="12">
        <v>20</v>
      </c>
      <c r="F79" s="12" t="s">
        <v>555</v>
      </c>
      <c r="G79" s="12" t="s">
        <v>30</v>
      </c>
      <c r="H79" s="12" t="s">
        <v>26</v>
      </c>
      <c r="I79" s="12">
        <v>27</v>
      </c>
      <c r="J79" s="12">
        <v>27</v>
      </c>
      <c r="K79" s="12">
        <v>28</v>
      </c>
      <c r="L79" s="12">
        <v>28</v>
      </c>
      <c r="M79" s="12">
        <v>28</v>
      </c>
      <c r="N79" s="12">
        <v>27</v>
      </c>
      <c r="O79" s="12">
        <v>27</v>
      </c>
      <c r="P79" s="12">
        <v>27</v>
      </c>
      <c r="Q79" s="12">
        <v>27</v>
      </c>
      <c r="R79" s="12">
        <v>28</v>
      </c>
      <c r="S79" s="12">
        <v>28</v>
      </c>
      <c r="T79" s="12">
        <v>28</v>
      </c>
      <c r="U79" s="5">
        <v>330</v>
      </c>
      <c r="V79" s="5" t="s">
        <v>9</v>
      </c>
      <c r="W79" s="13">
        <v>46052</v>
      </c>
      <c r="X79" s="12">
        <v>1980</v>
      </c>
      <c r="Y79" s="12">
        <v>4</v>
      </c>
      <c r="Z79" s="15" t="s">
        <v>536</v>
      </c>
      <c r="AT79" s="4"/>
      <c r="AU79" s="4"/>
      <c r="AV79" s="1"/>
    </row>
    <row r="80" spans="1:48" x14ac:dyDescent="0.3">
      <c r="A80" s="14">
        <v>79</v>
      </c>
      <c r="B80" s="12">
        <v>126879</v>
      </c>
      <c r="C80" s="12" t="s">
        <v>110</v>
      </c>
      <c r="D80" s="12" t="s">
        <v>6</v>
      </c>
      <c r="E80" s="12">
        <v>20</v>
      </c>
      <c r="F80" s="12" t="s">
        <v>555</v>
      </c>
      <c r="G80" s="12" t="s">
        <v>45</v>
      </c>
      <c r="H80" s="12" t="s">
        <v>31</v>
      </c>
      <c r="I80" s="12">
        <v>27</v>
      </c>
      <c r="J80" s="12">
        <v>28</v>
      </c>
      <c r="K80" s="12">
        <v>28</v>
      </c>
      <c r="L80" s="12">
        <v>27</v>
      </c>
      <c r="M80" s="12">
        <v>28</v>
      </c>
      <c r="N80" s="12">
        <v>28</v>
      </c>
      <c r="O80" s="12">
        <v>27</v>
      </c>
      <c r="P80" s="12">
        <v>27</v>
      </c>
      <c r="Q80" s="12">
        <v>28</v>
      </c>
      <c r="R80" s="12">
        <v>27</v>
      </c>
      <c r="S80" s="12">
        <v>28</v>
      </c>
      <c r="T80" s="12">
        <v>27</v>
      </c>
      <c r="U80" s="5">
        <v>330</v>
      </c>
      <c r="V80" s="5" t="s">
        <v>12</v>
      </c>
      <c r="W80" s="13">
        <v>46140</v>
      </c>
      <c r="X80" s="12">
        <v>1980</v>
      </c>
      <c r="Y80" s="12">
        <v>4</v>
      </c>
      <c r="Z80" s="15" t="s">
        <v>536</v>
      </c>
      <c r="AT80" s="4"/>
      <c r="AU80" s="4"/>
      <c r="AV80" s="1"/>
    </row>
    <row r="81" spans="1:48" x14ac:dyDescent="0.3">
      <c r="A81" s="14">
        <v>80</v>
      </c>
      <c r="B81" s="12">
        <v>126880</v>
      </c>
      <c r="C81" s="12" t="s">
        <v>111</v>
      </c>
      <c r="D81" s="12" t="s">
        <v>6</v>
      </c>
      <c r="E81" s="12">
        <v>22</v>
      </c>
      <c r="F81" s="12" t="s">
        <v>555</v>
      </c>
      <c r="G81" s="12" t="s">
        <v>38</v>
      </c>
      <c r="H81" s="12" t="s">
        <v>28</v>
      </c>
      <c r="I81" s="12">
        <v>28</v>
      </c>
      <c r="J81" s="12">
        <v>27</v>
      </c>
      <c r="K81" s="12">
        <v>27</v>
      </c>
      <c r="L81" s="12">
        <v>27</v>
      </c>
      <c r="M81" s="12">
        <v>27</v>
      </c>
      <c r="N81" s="12">
        <v>27</v>
      </c>
      <c r="O81" s="12">
        <v>28</v>
      </c>
      <c r="P81" s="12">
        <v>28</v>
      </c>
      <c r="Q81" s="12">
        <v>27</v>
      </c>
      <c r="R81" s="12">
        <v>28</v>
      </c>
      <c r="S81" s="12">
        <v>27</v>
      </c>
      <c r="T81" s="12">
        <v>28</v>
      </c>
      <c r="U81" s="5">
        <v>329</v>
      </c>
      <c r="V81" s="5" t="s">
        <v>17</v>
      </c>
      <c r="W81" s="13">
        <v>46294</v>
      </c>
      <c r="X81" s="12">
        <v>1974</v>
      </c>
      <c r="Y81" s="12">
        <v>5</v>
      </c>
      <c r="Z81" s="15" t="s">
        <v>535</v>
      </c>
      <c r="AT81" s="4"/>
      <c r="AU81" s="4"/>
      <c r="AV81" s="1"/>
    </row>
    <row r="82" spans="1:48" x14ac:dyDescent="0.3">
      <c r="A82" s="14">
        <v>81</v>
      </c>
      <c r="B82" s="12">
        <v>126881</v>
      </c>
      <c r="C82" s="12" t="s">
        <v>112</v>
      </c>
      <c r="D82" s="12" t="s">
        <v>7</v>
      </c>
      <c r="E82" s="12">
        <v>25</v>
      </c>
      <c r="F82" s="12" t="s">
        <v>555</v>
      </c>
      <c r="G82" s="12" t="s">
        <v>38</v>
      </c>
      <c r="H82" s="12" t="s">
        <v>31</v>
      </c>
      <c r="I82" s="12">
        <v>28</v>
      </c>
      <c r="J82" s="12">
        <v>28</v>
      </c>
      <c r="K82" s="12">
        <v>27</v>
      </c>
      <c r="L82" s="12">
        <v>27</v>
      </c>
      <c r="M82" s="12">
        <v>28</v>
      </c>
      <c r="N82" s="12">
        <v>28</v>
      </c>
      <c r="O82" s="12">
        <v>27</v>
      </c>
      <c r="P82" s="12">
        <v>27</v>
      </c>
      <c r="Q82" s="12">
        <v>27</v>
      </c>
      <c r="R82" s="12">
        <v>27</v>
      </c>
      <c r="S82" s="12">
        <v>27</v>
      </c>
      <c r="T82" s="12">
        <v>28</v>
      </c>
      <c r="U82" s="5">
        <v>329</v>
      </c>
      <c r="V82" s="5" t="s">
        <v>13</v>
      </c>
      <c r="W82" s="13">
        <v>46158</v>
      </c>
      <c r="X82" s="12">
        <v>1974</v>
      </c>
      <c r="Y82" s="12">
        <v>4</v>
      </c>
      <c r="Z82" s="15" t="s">
        <v>536</v>
      </c>
      <c r="AT82" s="4"/>
      <c r="AU82" s="4"/>
      <c r="AV82" s="1"/>
    </row>
    <row r="83" spans="1:48" x14ac:dyDescent="0.3">
      <c r="A83" s="14">
        <v>82</v>
      </c>
      <c r="B83" s="12">
        <v>126882</v>
      </c>
      <c r="C83" s="12" t="s">
        <v>113</v>
      </c>
      <c r="D83" s="12" t="s">
        <v>7</v>
      </c>
      <c r="E83" s="12">
        <v>24</v>
      </c>
      <c r="F83" s="12" t="s">
        <v>555</v>
      </c>
      <c r="G83" s="12" t="s">
        <v>35</v>
      </c>
      <c r="H83" s="12" t="s">
        <v>28</v>
      </c>
      <c r="I83" s="12">
        <v>27</v>
      </c>
      <c r="J83" s="12">
        <v>28</v>
      </c>
      <c r="K83" s="12">
        <v>28</v>
      </c>
      <c r="L83" s="12">
        <v>28</v>
      </c>
      <c r="M83" s="12">
        <v>28</v>
      </c>
      <c r="N83" s="12">
        <v>27</v>
      </c>
      <c r="O83" s="12">
        <v>27</v>
      </c>
      <c r="P83" s="12">
        <v>27</v>
      </c>
      <c r="Q83" s="12">
        <v>28</v>
      </c>
      <c r="R83" s="12">
        <v>28</v>
      </c>
      <c r="S83" s="12">
        <v>27</v>
      </c>
      <c r="T83" s="12">
        <v>27</v>
      </c>
      <c r="U83" s="5">
        <v>330</v>
      </c>
      <c r="V83" s="5" t="s">
        <v>15</v>
      </c>
      <c r="W83" s="13">
        <v>46222</v>
      </c>
      <c r="X83" s="12">
        <v>1980</v>
      </c>
      <c r="Y83" s="12">
        <v>4</v>
      </c>
      <c r="Z83" s="15" t="s">
        <v>535</v>
      </c>
      <c r="AT83" s="4"/>
      <c r="AU83" s="4"/>
      <c r="AV83" s="1"/>
    </row>
    <row r="84" spans="1:48" x14ac:dyDescent="0.3">
      <c r="A84" s="14">
        <v>83</v>
      </c>
      <c r="B84" s="12">
        <v>126883</v>
      </c>
      <c r="C84" s="12" t="s">
        <v>114</v>
      </c>
      <c r="D84" s="12" t="s">
        <v>6</v>
      </c>
      <c r="E84" s="12">
        <v>19</v>
      </c>
      <c r="F84" s="12" t="s">
        <v>555</v>
      </c>
      <c r="G84" s="12" t="s">
        <v>45</v>
      </c>
      <c r="H84" s="12" t="s">
        <v>26</v>
      </c>
      <c r="I84" s="12">
        <v>27</v>
      </c>
      <c r="J84" s="12">
        <v>27</v>
      </c>
      <c r="K84" s="12">
        <v>28</v>
      </c>
      <c r="L84" s="12">
        <v>27</v>
      </c>
      <c r="M84" s="12">
        <v>27</v>
      </c>
      <c r="N84" s="12">
        <v>27</v>
      </c>
      <c r="O84" s="12">
        <v>27</v>
      </c>
      <c r="P84" s="12">
        <v>28</v>
      </c>
      <c r="Q84" s="12">
        <v>27</v>
      </c>
      <c r="R84" s="12">
        <v>28</v>
      </c>
      <c r="S84" s="12">
        <v>28</v>
      </c>
      <c r="T84" s="12">
        <v>27</v>
      </c>
      <c r="U84" s="5">
        <v>328</v>
      </c>
      <c r="V84" s="5" t="s">
        <v>17</v>
      </c>
      <c r="W84" s="13">
        <v>46279</v>
      </c>
      <c r="X84" s="12">
        <v>1968</v>
      </c>
      <c r="Y84" s="12">
        <v>5</v>
      </c>
      <c r="Z84" s="15" t="s">
        <v>536</v>
      </c>
      <c r="AT84" s="4"/>
      <c r="AU84" s="4"/>
      <c r="AV84" s="1"/>
    </row>
    <row r="85" spans="1:48" x14ac:dyDescent="0.3">
      <c r="A85" s="14">
        <v>84</v>
      </c>
      <c r="B85" s="12">
        <v>126884</v>
      </c>
      <c r="C85" s="12" t="s">
        <v>115</v>
      </c>
      <c r="D85" s="12" t="s">
        <v>6</v>
      </c>
      <c r="E85" s="12">
        <v>21</v>
      </c>
      <c r="F85" s="12" t="s">
        <v>555</v>
      </c>
      <c r="G85" s="12" t="s">
        <v>30</v>
      </c>
      <c r="H85" s="12" t="s">
        <v>31</v>
      </c>
      <c r="I85" s="12">
        <v>27</v>
      </c>
      <c r="J85" s="12">
        <v>27</v>
      </c>
      <c r="K85" s="12">
        <v>28</v>
      </c>
      <c r="L85" s="12">
        <v>28</v>
      </c>
      <c r="M85" s="12">
        <v>27</v>
      </c>
      <c r="N85" s="12">
        <v>27</v>
      </c>
      <c r="O85" s="12">
        <v>27</v>
      </c>
      <c r="P85" s="12">
        <v>28</v>
      </c>
      <c r="Q85" s="12">
        <v>27</v>
      </c>
      <c r="R85" s="12">
        <v>27</v>
      </c>
      <c r="S85" s="12">
        <v>27</v>
      </c>
      <c r="T85" s="12">
        <v>28</v>
      </c>
      <c r="U85" s="5">
        <v>328</v>
      </c>
      <c r="V85" s="5" t="s">
        <v>9</v>
      </c>
      <c r="W85" s="13">
        <v>46052</v>
      </c>
      <c r="X85" s="12">
        <v>1968</v>
      </c>
      <c r="Y85" s="12">
        <v>5</v>
      </c>
      <c r="Z85" s="15" t="s">
        <v>536</v>
      </c>
      <c r="AT85" s="4"/>
      <c r="AU85" s="4"/>
      <c r="AV85" s="1"/>
    </row>
    <row r="86" spans="1:48" x14ac:dyDescent="0.3">
      <c r="A86" s="14">
        <v>85</v>
      </c>
      <c r="B86" s="12">
        <v>126885</v>
      </c>
      <c r="C86" s="12" t="s">
        <v>116</v>
      </c>
      <c r="D86" s="12" t="s">
        <v>6</v>
      </c>
      <c r="E86" s="12">
        <v>19</v>
      </c>
      <c r="F86" s="12" t="s">
        <v>555</v>
      </c>
      <c r="G86" s="12" t="s">
        <v>38</v>
      </c>
      <c r="H86" s="12" t="s">
        <v>26</v>
      </c>
      <c r="I86" s="12">
        <v>27</v>
      </c>
      <c r="J86" s="12">
        <v>27</v>
      </c>
      <c r="K86" s="12">
        <v>28</v>
      </c>
      <c r="L86" s="12">
        <v>27</v>
      </c>
      <c r="M86" s="12">
        <v>28</v>
      </c>
      <c r="N86" s="12">
        <v>27</v>
      </c>
      <c r="O86" s="12">
        <v>28</v>
      </c>
      <c r="P86" s="12">
        <v>27</v>
      </c>
      <c r="Q86" s="12">
        <v>27</v>
      </c>
      <c r="R86" s="12">
        <v>28</v>
      </c>
      <c r="S86" s="12">
        <v>27</v>
      </c>
      <c r="T86" s="12">
        <v>28</v>
      </c>
      <c r="U86" s="5">
        <v>329</v>
      </c>
      <c r="V86" s="5" t="s">
        <v>15</v>
      </c>
      <c r="W86" s="13">
        <v>46222</v>
      </c>
      <c r="X86" s="12">
        <v>1974</v>
      </c>
      <c r="Y86" s="12">
        <v>3</v>
      </c>
      <c r="Z86" s="15" t="s">
        <v>536</v>
      </c>
      <c r="AT86" s="4"/>
      <c r="AU86" s="4"/>
      <c r="AV86" s="1"/>
    </row>
    <row r="87" spans="1:48" x14ac:dyDescent="0.3">
      <c r="A87" s="14">
        <v>86</v>
      </c>
      <c r="B87" s="12">
        <v>126886</v>
      </c>
      <c r="C87" s="12" t="s">
        <v>117</v>
      </c>
      <c r="D87" s="12" t="s">
        <v>6</v>
      </c>
      <c r="E87" s="12">
        <v>22</v>
      </c>
      <c r="F87" s="12" t="s">
        <v>555</v>
      </c>
      <c r="G87" s="12" t="s">
        <v>35</v>
      </c>
      <c r="H87" s="12" t="s">
        <v>28</v>
      </c>
      <c r="I87" s="12">
        <v>28</v>
      </c>
      <c r="J87" s="12">
        <v>28</v>
      </c>
      <c r="K87" s="12">
        <v>28</v>
      </c>
      <c r="L87" s="12">
        <v>27</v>
      </c>
      <c r="M87" s="12">
        <v>28</v>
      </c>
      <c r="N87" s="12">
        <v>28</v>
      </c>
      <c r="O87" s="12">
        <v>28</v>
      </c>
      <c r="P87" s="12">
        <v>28</v>
      </c>
      <c r="Q87" s="12">
        <v>27</v>
      </c>
      <c r="R87" s="12">
        <v>27</v>
      </c>
      <c r="S87" s="12">
        <v>28</v>
      </c>
      <c r="T87" s="12">
        <v>28</v>
      </c>
      <c r="U87" s="5">
        <v>333</v>
      </c>
      <c r="V87" s="5" t="s">
        <v>13</v>
      </c>
      <c r="W87" s="13">
        <v>46146</v>
      </c>
      <c r="X87" s="12">
        <v>1998</v>
      </c>
      <c r="Y87" s="12">
        <v>3</v>
      </c>
      <c r="Z87" s="15" t="s">
        <v>535</v>
      </c>
      <c r="AT87" s="4"/>
      <c r="AU87" s="4"/>
      <c r="AV87" s="1"/>
    </row>
    <row r="88" spans="1:48" x14ac:dyDescent="0.3">
      <c r="A88" s="14">
        <v>87</v>
      </c>
      <c r="B88" s="12">
        <v>126887</v>
      </c>
      <c r="C88" s="12" t="s">
        <v>118</v>
      </c>
      <c r="D88" s="12" t="s">
        <v>6</v>
      </c>
      <c r="E88" s="12">
        <v>24</v>
      </c>
      <c r="F88" s="12" t="s">
        <v>555</v>
      </c>
      <c r="G88" s="12" t="s">
        <v>35</v>
      </c>
      <c r="H88" s="12" t="s">
        <v>28</v>
      </c>
      <c r="I88" s="12">
        <v>28</v>
      </c>
      <c r="J88" s="12">
        <v>28</v>
      </c>
      <c r="K88" s="12">
        <v>27</v>
      </c>
      <c r="L88" s="12">
        <v>28</v>
      </c>
      <c r="M88" s="12">
        <v>28</v>
      </c>
      <c r="N88" s="12">
        <v>27</v>
      </c>
      <c r="O88" s="12">
        <v>27</v>
      </c>
      <c r="P88" s="12">
        <v>27</v>
      </c>
      <c r="Q88" s="12">
        <v>28</v>
      </c>
      <c r="R88" s="12">
        <v>27</v>
      </c>
      <c r="S88" s="12">
        <v>27</v>
      </c>
      <c r="T88" s="12">
        <v>28</v>
      </c>
      <c r="U88" s="5">
        <v>330</v>
      </c>
      <c r="V88" s="5" t="s">
        <v>12</v>
      </c>
      <c r="W88" s="13">
        <v>46113</v>
      </c>
      <c r="X88" s="12">
        <v>1980</v>
      </c>
      <c r="Y88" s="12">
        <v>4</v>
      </c>
      <c r="Z88" s="15" t="s">
        <v>535</v>
      </c>
      <c r="AT88" s="4"/>
      <c r="AU88" s="4"/>
      <c r="AV88" s="1"/>
    </row>
    <row r="89" spans="1:48" x14ac:dyDescent="0.3">
      <c r="A89" s="14">
        <v>88</v>
      </c>
      <c r="B89" s="12">
        <v>126888</v>
      </c>
      <c r="C89" s="12" t="s">
        <v>119</v>
      </c>
      <c r="D89" s="12" t="s">
        <v>7</v>
      </c>
      <c r="E89" s="12">
        <v>20</v>
      </c>
      <c r="F89" s="12" t="s">
        <v>555</v>
      </c>
      <c r="G89" s="12" t="s">
        <v>30</v>
      </c>
      <c r="H89" s="12" t="s">
        <v>31</v>
      </c>
      <c r="I89" s="12">
        <v>27</v>
      </c>
      <c r="J89" s="12">
        <v>27</v>
      </c>
      <c r="K89" s="12">
        <v>27</v>
      </c>
      <c r="L89" s="12">
        <v>28</v>
      </c>
      <c r="M89" s="12">
        <v>27</v>
      </c>
      <c r="N89" s="12">
        <v>27</v>
      </c>
      <c r="O89" s="12">
        <v>27</v>
      </c>
      <c r="P89" s="12">
        <v>27</v>
      </c>
      <c r="Q89" s="12">
        <v>27</v>
      </c>
      <c r="R89" s="12">
        <v>28</v>
      </c>
      <c r="S89" s="12">
        <v>28</v>
      </c>
      <c r="T89" s="12">
        <v>28</v>
      </c>
      <c r="U89" s="5">
        <v>328</v>
      </c>
      <c r="V89" s="5" t="s">
        <v>13</v>
      </c>
      <c r="W89" s="13">
        <v>46171</v>
      </c>
      <c r="X89" s="12">
        <v>1968</v>
      </c>
      <c r="Y89" s="12">
        <v>3</v>
      </c>
      <c r="Z89" s="15" t="s">
        <v>536</v>
      </c>
      <c r="AT89" s="4"/>
      <c r="AU89" s="4"/>
      <c r="AV89" s="1"/>
    </row>
    <row r="90" spans="1:48" x14ac:dyDescent="0.3">
      <c r="A90" s="14">
        <v>89</v>
      </c>
      <c r="B90" s="12">
        <v>126889</v>
      </c>
      <c r="C90" s="12" t="s">
        <v>120</v>
      </c>
      <c r="D90" s="12" t="s">
        <v>6</v>
      </c>
      <c r="E90" s="12">
        <v>27</v>
      </c>
      <c r="F90" s="12" t="s">
        <v>556</v>
      </c>
      <c r="G90" s="12" t="s">
        <v>35</v>
      </c>
      <c r="H90" s="12" t="s">
        <v>28</v>
      </c>
      <c r="I90" s="12">
        <v>28</v>
      </c>
      <c r="J90" s="12">
        <v>27</v>
      </c>
      <c r="K90" s="12">
        <v>27</v>
      </c>
      <c r="L90" s="12">
        <v>28</v>
      </c>
      <c r="M90" s="12">
        <v>27</v>
      </c>
      <c r="N90" s="12">
        <v>28</v>
      </c>
      <c r="O90" s="12">
        <v>27</v>
      </c>
      <c r="P90" s="12">
        <v>27</v>
      </c>
      <c r="Q90" s="12">
        <v>27</v>
      </c>
      <c r="R90" s="12">
        <v>28</v>
      </c>
      <c r="S90" s="12">
        <v>28</v>
      </c>
      <c r="T90" s="12">
        <v>27</v>
      </c>
      <c r="U90" s="5">
        <v>329</v>
      </c>
      <c r="V90" s="5" t="s">
        <v>11</v>
      </c>
      <c r="W90" s="13">
        <v>46111</v>
      </c>
      <c r="X90" s="12">
        <v>1974</v>
      </c>
      <c r="Y90" s="12">
        <v>4</v>
      </c>
      <c r="Z90" s="15" t="s">
        <v>536</v>
      </c>
      <c r="AT90" s="4"/>
      <c r="AU90" s="4"/>
      <c r="AV90" s="1"/>
    </row>
    <row r="91" spans="1:48" x14ac:dyDescent="0.3">
      <c r="A91" s="14">
        <v>90</v>
      </c>
      <c r="B91" s="12">
        <v>126890</v>
      </c>
      <c r="C91" s="12" t="s">
        <v>121</v>
      </c>
      <c r="D91" s="12" t="s">
        <v>6</v>
      </c>
      <c r="E91" s="12">
        <v>18</v>
      </c>
      <c r="F91" s="12" t="s">
        <v>555</v>
      </c>
      <c r="G91" s="12" t="s">
        <v>45</v>
      </c>
      <c r="H91" s="12" t="s">
        <v>28</v>
      </c>
      <c r="I91" s="12">
        <v>28</v>
      </c>
      <c r="J91" s="12">
        <v>27</v>
      </c>
      <c r="K91" s="12">
        <v>28</v>
      </c>
      <c r="L91" s="12">
        <v>28</v>
      </c>
      <c r="M91" s="12">
        <v>28</v>
      </c>
      <c r="N91" s="12">
        <v>27</v>
      </c>
      <c r="O91" s="12">
        <v>27</v>
      </c>
      <c r="P91" s="12">
        <v>28</v>
      </c>
      <c r="Q91" s="12">
        <v>27</v>
      </c>
      <c r="R91" s="12">
        <v>27</v>
      </c>
      <c r="S91" s="12">
        <v>28</v>
      </c>
      <c r="T91" s="12">
        <v>27</v>
      </c>
      <c r="U91" s="5">
        <v>330</v>
      </c>
      <c r="V91" s="5" t="s">
        <v>12</v>
      </c>
      <c r="W91" s="13">
        <v>46136</v>
      </c>
      <c r="X91" s="12">
        <v>1980</v>
      </c>
      <c r="Y91" s="12">
        <v>3</v>
      </c>
      <c r="Z91" s="15" t="s">
        <v>536</v>
      </c>
      <c r="AT91" s="4"/>
      <c r="AU91" s="4"/>
      <c r="AV91" s="1"/>
    </row>
    <row r="92" spans="1:48" x14ac:dyDescent="0.3">
      <c r="A92" s="14">
        <v>91</v>
      </c>
      <c r="B92" s="12">
        <v>126891</v>
      </c>
      <c r="C92" s="12" t="s">
        <v>122</v>
      </c>
      <c r="D92" s="12" t="s">
        <v>6</v>
      </c>
      <c r="E92" s="12">
        <v>27</v>
      </c>
      <c r="F92" s="12" t="s">
        <v>556</v>
      </c>
      <c r="G92" s="12" t="s">
        <v>35</v>
      </c>
      <c r="H92" s="12" t="s">
        <v>26</v>
      </c>
      <c r="I92" s="12">
        <v>28</v>
      </c>
      <c r="J92" s="12">
        <v>28</v>
      </c>
      <c r="K92" s="12">
        <v>28</v>
      </c>
      <c r="L92" s="12">
        <v>28</v>
      </c>
      <c r="M92" s="12">
        <v>28</v>
      </c>
      <c r="N92" s="12">
        <v>27</v>
      </c>
      <c r="O92" s="12">
        <v>28</v>
      </c>
      <c r="P92" s="12">
        <v>28</v>
      </c>
      <c r="Q92" s="12">
        <v>27</v>
      </c>
      <c r="R92" s="12">
        <v>27</v>
      </c>
      <c r="S92" s="12">
        <v>28</v>
      </c>
      <c r="T92" s="12">
        <v>27</v>
      </c>
      <c r="U92" s="5">
        <v>332</v>
      </c>
      <c r="V92" s="5" t="s">
        <v>15</v>
      </c>
      <c r="W92" s="13">
        <v>46228</v>
      </c>
      <c r="X92" s="12">
        <v>1992</v>
      </c>
      <c r="Y92" s="12">
        <v>4</v>
      </c>
      <c r="Z92" s="15" t="s">
        <v>535</v>
      </c>
      <c r="AT92" s="4"/>
      <c r="AU92" s="4"/>
      <c r="AV92" s="1"/>
    </row>
    <row r="93" spans="1:48" x14ac:dyDescent="0.3">
      <c r="A93" s="14">
        <v>92</v>
      </c>
      <c r="B93" s="12">
        <v>126892</v>
      </c>
      <c r="C93" s="12" t="s">
        <v>123</v>
      </c>
      <c r="D93" s="12" t="s">
        <v>7</v>
      </c>
      <c r="E93" s="12">
        <v>23</v>
      </c>
      <c r="F93" s="12" t="s">
        <v>555</v>
      </c>
      <c r="G93" s="12" t="s">
        <v>38</v>
      </c>
      <c r="H93" s="12" t="s">
        <v>26</v>
      </c>
      <c r="I93" s="12">
        <v>28</v>
      </c>
      <c r="J93" s="12">
        <v>27</v>
      </c>
      <c r="K93" s="12">
        <v>27</v>
      </c>
      <c r="L93" s="12">
        <v>27</v>
      </c>
      <c r="M93" s="12">
        <v>27</v>
      </c>
      <c r="N93" s="12">
        <v>28</v>
      </c>
      <c r="O93" s="12">
        <v>27</v>
      </c>
      <c r="P93" s="12">
        <v>27</v>
      </c>
      <c r="Q93" s="12">
        <v>28</v>
      </c>
      <c r="R93" s="12">
        <v>27</v>
      </c>
      <c r="S93" s="12">
        <v>27</v>
      </c>
      <c r="T93" s="12">
        <v>27</v>
      </c>
      <c r="U93" s="5">
        <v>327</v>
      </c>
      <c r="V93" s="5" t="s">
        <v>14</v>
      </c>
      <c r="W93" s="13">
        <v>46198</v>
      </c>
      <c r="X93" s="12">
        <v>1962</v>
      </c>
      <c r="Y93" s="12">
        <v>5</v>
      </c>
      <c r="Z93" s="15" t="s">
        <v>535</v>
      </c>
      <c r="AT93" s="4"/>
      <c r="AU93" s="4"/>
      <c r="AV93" s="1"/>
    </row>
    <row r="94" spans="1:48" x14ac:dyDescent="0.3">
      <c r="A94" s="14">
        <v>93</v>
      </c>
      <c r="B94" s="12">
        <v>126893</v>
      </c>
      <c r="C94" s="12" t="s">
        <v>124</v>
      </c>
      <c r="D94" s="12" t="s">
        <v>6</v>
      </c>
      <c r="E94" s="12">
        <v>20</v>
      </c>
      <c r="F94" s="12" t="s">
        <v>555</v>
      </c>
      <c r="G94" s="12" t="s">
        <v>30</v>
      </c>
      <c r="H94" s="12" t="s">
        <v>31</v>
      </c>
      <c r="I94" s="12">
        <v>27</v>
      </c>
      <c r="J94" s="12">
        <v>27</v>
      </c>
      <c r="K94" s="12">
        <v>28</v>
      </c>
      <c r="L94" s="12">
        <v>28</v>
      </c>
      <c r="M94" s="12">
        <v>28</v>
      </c>
      <c r="N94" s="12">
        <v>28</v>
      </c>
      <c r="O94" s="12">
        <v>27</v>
      </c>
      <c r="P94" s="12">
        <v>28</v>
      </c>
      <c r="Q94" s="12">
        <v>27</v>
      </c>
      <c r="R94" s="12">
        <v>27</v>
      </c>
      <c r="S94" s="12">
        <v>27</v>
      </c>
      <c r="T94" s="12">
        <v>28</v>
      </c>
      <c r="U94" s="5">
        <v>330</v>
      </c>
      <c r="V94" s="5" t="s">
        <v>11</v>
      </c>
      <c r="W94" s="13">
        <v>46087</v>
      </c>
      <c r="X94" s="12">
        <v>1980</v>
      </c>
      <c r="Y94" s="12">
        <v>5</v>
      </c>
      <c r="Z94" s="15" t="s">
        <v>535</v>
      </c>
      <c r="AT94" s="4"/>
      <c r="AU94" s="4"/>
      <c r="AV94" s="1"/>
    </row>
    <row r="95" spans="1:48" x14ac:dyDescent="0.3">
      <c r="A95" s="14">
        <v>94</v>
      </c>
      <c r="B95" s="12">
        <v>126894</v>
      </c>
      <c r="C95" s="12" t="s">
        <v>125</v>
      </c>
      <c r="D95" s="12" t="s">
        <v>7</v>
      </c>
      <c r="E95" s="12">
        <v>19</v>
      </c>
      <c r="F95" s="12" t="s">
        <v>555</v>
      </c>
      <c r="G95" s="12" t="s">
        <v>35</v>
      </c>
      <c r="H95" s="12" t="s">
        <v>28</v>
      </c>
      <c r="I95" s="12">
        <v>27</v>
      </c>
      <c r="J95" s="12">
        <v>27</v>
      </c>
      <c r="K95" s="12">
        <v>28</v>
      </c>
      <c r="L95" s="12">
        <v>28</v>
      </c>
      <c r="M95" s="12">
        <v>28</v>
      </c>
      <c r="N95" s="12">
        <v>27</v>
      </c>
      <c r="O95" s="12">
        <v>27</v>
      </c>
      <c r="P95" s="12">
        <v>28</v>
      </c>
      <c r="Q95" s="12">
        <v>27</v>
      </c>
      <c r="R95" s="12">
        <v>28</v>
      </c>
      <c r="S95" s="12">
        <v>28</v>
      </c>
      <c r="T95" s="12">
        <v>28</v>
      </c>
      <c r="U95" s="5">
        <v>331</v>
      </c>
      <c r="V95" s="5" t="s">
        <v>13</v>
      </c>
      <c r="W95" s="13">
        <v>46153</v>
      </c>
      <c r="X95" s="12">
        <v>1986</v>
      </c>
      <c r="Y95" s="12">
        <v>5</v>
      </c>
      <c r="Z95" s="15" t="s">
        <v>535</v>
      </c>
      <c r="AT95" s="4"/>
      <c r="AU95" s="4"/>
      <c r="AV95" s="1"/>
    </row>
    <row r="96" spans="1:48" x14ac:dyDescent="0.3">
      <c r="A96" s="14">
        <v>95</v>
      </c>
      <c r="B96" s="12">
        <v>126895</v>
      </c>
      <c r="C96" s="12" t="s">
        <v>126</v>
      </c>
      <c r="D96" s="12" t="s">
        <v>7</v>
      </c>
      <c r="E96" s="12">
        <v>27</v>
      </c>
      <c r="F96" s="12" t="s">
        <v>556</v>
      </c>
      <c r="G96" s="12" t="s">
        <v>30</v>
      </c>
      <c r="H96" s="12" t="s">
        <v>26</v>
      </c>
      <c r="I96" s="12">
        <v>27</v>
      </c>
      <c r="J96" s="12">
        <v>27</v>
      </c>
      <c r="K96" s="12">
        <v>28</v>
      </c>
      <c r="L96" s="12">
        <v>27</v>
      </c>
      <c r="M96" s="12">
        <v>27</v>
      </c>
      <c r="N96" s="12">
        <v>27</v>
      </c>
      <c r="O96" s="12">
        <v>27</v>
      </c>
      <c r="P96" s="12">
        <v>28</v>
      </c>
      <c r="Q96" s="12">
        <v>27</v>
      </c>
      <c r="R96" s="12">
        <v>28</v>
      </c>
      <c r="S96" s="12">
        <v>28</v>
      </c>
      <c r="T96" s="12">
        <v>28</v>
      </c>
      <c r="U96" s="5">
        <v>329</v>
      </c>
      <c r="V96" s="5" t="s">
        <v>17</v>
      </c>
      <c r="W96" s="13">
        <v>46290</v>
      </c>
      <c r="X96" s="12">
        <v>1974</v>
      </c>
      <c r="Y96" s="12">
        <v>4</v>
      </c>
      <c r="Z96" s="15" t="s">
        <v>535</v>
      </c>
      <c r="AT96" s="4"/>
      <c r="AU96" s="4"/>
      <c r="AV96" s="1"/>
    </row>
    <row r="97" spans="1:48" x14ac:dyDescent="0.3">
      <c r="A97" s="14">
        <v>96</v>
      </c>
      <c r="B97" s="12">
        <v>126896</v>
      </c>
      <c r="C97" s="12" t="s">
        <v>127</v>
      </c>
      <c r="D97" s="12" t="s">
        <v>6</v>
      </c>
      <c r="E97" s="12">
        <v>19</v>
      </c>
      <c r="F97" s="12" t="s">
        <v>555</v>
      </c>
      <c r="G97" s="12" t="s">
        <v>45</v>
      </c>
      <c r="H97" s="12" t="s">
        <v>31</v>
      </c>
      <c r="I97" s="12">
        <v>28</v>
      </c>
      <c r="J97" s="12">
        <v>28</v>
      </c>
      <c r="K97" s="12">
        <v>28</v>
      </c>
      <c r="L97" s="12">
        <v>27</v>
      </c>
      <c r="M97" s="12">
        <v>27</v>
      </c>
      <c r="N97" s="12">
        <v>28</v>
      </c>
      <c r="O97" s="12">
        <v>27</v>
      </c>
      <c r="P97" s="12">
        <v>28</v>
      </c>
      <c r="Q97" s="12">
        <v>27</v>
      </c>
      <c r="R97" s="12">
        <v>28</v>
      </c>
      <c r="S97" s="12">
        <v>28</v>
      </c>
      <c r="T97" s="12">
        <v>28</v>
      </c>
      <c r="U97" s="5">
        <v>332</v>
      </c>
      <c r="V97" s="5" t="s">
        <v>13</v>
      </c>
      <c r="W97" s="13">
        <v>46144</v>
      </c>
      <c r="X97" s="12">
        <v>1992</v>
      </c>
      <c r="Y97" s="12">
        <v>4</v>
      </c>
      <c r="Z97" s="15" t="s">
        <v>536</v>
      </c>
      <c r="AT97" s="4"/>
      <c r="AU97" s="4"/>
      <c r="AV97" s="1"/>
    </row>
    <row r="98" spans="1:48" x14ac:dyDescent="0.3">
      <c r="A98" s="14">
        <v>97</v>
      </c>
      <c r="B98" s="12">
        <v>126897</v>
      </c>
      <c r="C98" s="12" t="s">
        <v>128</v>
      </c>
      <c r="D98" s="12" t="s">
        <v>6</v>
      </c>
      <c r="E98" s="12">
        <v>26</v>
      </c>
      <c r="F98" s="12" t="s">
        <v>556</v>
      </c>
      <c r="G98" s="12" t="s">
        <v>35</v>
      </c>
      <c r="H98" s="12" t="s">
        <v>28</v>
      </c>
      <c r="I98" s="12">
        <v>27</v>
      </c>
      <c r="J98" s="12">
        <v>27</v>
      </c>
      <c r="K98" s="12">
        <v>28</v>
      </c>
      <c r="L98" s="12">
        <v>27</v>
      </c>
      <c r="M98" s="12">
        <v>27</v>
      </c>
      <c r="N98" s="12">
        <v>27</v>
      </c>
      <c r="O98" s="12">
        <v>27</v>
      </c>
      <c r="P98" s="12">
        <v>28</v>
      </c>
      <c r="Q98" s="12">
        <v>27</v>
      </c>
      <c r="R98" s="12">
        <v>27</v>
      </c>
      <c r="S98" s="12">
        <v>28</v>
      </c>
      <c r="T98" s="12">
        <v>27</v>
      </c>
      <c r="U98" s="5">
        <v>327</v>
      </c>
      <c r="V98" s="5" t="s">
        <v>16</v>
      </c>
      <c r="W98" s="13">
        <v>46246</v>
      </c>
      <c r="X98" s="12">
        <v>1962</v>
      </c>
      <c r="Y98" s="12">
        <v>4</v>
      </c>
      <c r="Z98" s="15" t="s">
        <v>535</v>
      </c>
      <c r="AT98" s="4"/>
      <c r="AU98" s="4"/>
      <c r="AV98" s="1"/>
    </row>
    <row r="99" spans="1:48" x14ac:dyDescent="0.3">
      <c r="A99" s="14">
        <v>98</v>
      </c>
      <c r="B99" s="12">
        <v>126898</v>
      </c>
      <c r="C99" s="12" t="s">
        <v>129</v>
      </c>
      <c r="D99" s="12" t="s">
        <v>6</v>
      </c>
      <c r="E99" s="12">
        <v>19</v>
      </c>
      <c r="F99" s="12" t="s">
        <v>555</v>
      </c>
      <c r="G99" s="12" t="s">
        <v>38</v>
      </c>
      <c r="H99" s="12" t="s">
        <v>26</v>
      </c>
      <c r="I99" s="12">
        <v>28</v>
      </c>
      <c r="J99" s="12">
        <v>28</v>
      </c>
      <c r="K99" s="12">
        <v>27</v>
      </c>
      <c r="L99" s="12">
        <v>27</v>
      </c>
      <c r="M99" s="12">
        <v>27</v>
      </c>
      <c r="N99" s="12">
        <v>28</v>
      </c>
      <c r="O99" s="12">
        <v>27</v>
      </c>
      <c r="P99" s="12">
        <v>27</v>
      </c>
      <c r="Q99" s="12">
        <v>28</v>
      </c>
      <c r="R99" s="12">
        <v>28</v>
      </c>
      <c r="S99" s="12">
        <v>28</v>
      </c>
      <c r="T99" s="12">
        <v>28</v>
      </c>
      <c r="U99" s="5">
        <v>331</v>
      </c>
      <c r="V99" s="5" t="s">
        <v>14</v>
      </c>
      <c r="W99" s="13">
        <v>46202</v>
      </c>
      <c r="X99" s="12">
        <v>1986</v>
      </c>
      <c r="Y99" s="12">
        <v>5</v>
      </c>
      <c r="Z99" s="15" t="s">
        <v>536</v>
      </c>
      <c r="AT99" s="4"/>
      <c r="AU99" s="4"/>
      <c r="AV99" s="1"/>
    </row>
    <row r="100" spans="1:48" x14ac:dyDescent="0.3">
      <c r="A100" s="14">
        <v>99</v>
      </c>
      <c r="B100" s="12">
        <v>126899</v>
      </c>
      <c r="C100" s="12" t="s">
        <v>130</v>
      </c>
      <c r="D100" s="12" t="s">
        <v>6</v>
      </c>
      <c r="E100" s="12">
        <v>22</v>
      </c>
      <c r="F100" s="12" t="s">
        <v>555</v>
      </c>
      <c r="G100" s="12" t="s">
        <v>35</v>
      </c>
      <c r="H100" s="12" t="s">
        <v>26</v>
      </c>
      <c r="I100" s="12">
        <v>28</v>
      </c>
      <c r="J100" s="12">
        <v>28</v>
      </c>
      <c r="K100" s="12">
        <v>28</v>
      </c>
      <c r="L100" s="12">
        <v>27</v>
      </c>
      <c r="M100" s="12">
        <v>28</v>
      </c>
      <c r="N100" s="12">
        <v>28</v>
      </c>
      <c r="O100" s="12">
        <v>28</v>
      </c>
      <c r="P100" s="12">
        <v>28</v>
      </c>
      <c r="Q100" s="12">
        <v>28</v>
      </c>
      <c r="R100" s="12">
        <v>27</v>
      </c>
      <c r="S100" s="12">
        <v>28</v>
      </c>
      <c r="T100" s="12">
        <v>27</v>
      </c>
      <c r="U100" s="5">
        <v>333</v>
      </c>
      <c r="V100" s="5" t="s">
        <v>14</v>
      </c>
      <c r="W100" s="13">
        <v>46175</v>
      </c>
      <c r="X100" s="12">
        <v>1998</v>
      </c>
      <c r="Y100" s="12">
        <v>3</v>
      </c>
      <c r="Z100" s="15" t="s">
        <v>536</v>
      </c>
      <c r="AT100" s="4"/>
      <c r="AU100" s="4"/>
      <c r="AV100" s="1"/>
    </row>
    <row r="101" spans="1:48" x14ac:dyDescent="0.3">
      <c r="A101" s="14">
        <v>100</v>
      </c>
      <c r="B101" s="12">
        <v>126900</v>
      </c>
      <c r="C101" s="12" t="s">
        <v>131</v>
      </c>
      <c r="D101" s="12" t="s">
        <v>6</v>
      </c>
      <c r="E101" s="12">
        <v>26</v>
      </c>
      <c r="F101" s="12" t="s">
        <v>556</v>
      </c>
      <c r="G101" s="12" t="s">
        <v>30</v>
      </c>
      <c r="H101" s="12" t="s">
        <v>28</v>
      </c>
      <c r="I101" s="12">
        <v>27</v>
      </c>
      <c r="J101" s="12">
        <v>27</v>
      </c>
      <c r="K101" s="12">
        <v>28</v>
      </c>
      <c r="L101" s="12">
        <v>28</v>
      </c>
      <c r="M101" s="12">
        <v>28</v>
      </c>
      <c r="N101" s="12">
        <v>28</v>
      </c>
      <c r="O101" s="12">
        <v>27</v>
      </c>
      <c r="P101" s="12">
        <v>28</v>
      </c>
      <c r="Q101" s="12">
        <v>28</v>
      </c>
      <c r="R101" s="12">
        <v>27</v>
      </c>
      <c r="S101" s="12">
        <v>28</v>
      </c>
      <c r="T101" s="12">
        <v>28</v>
      </c>
      <c r="U101" s="5">
        <v>332</v>
      </c>
      <c r="V101" s="5" t="s">
        <v>12</v>
      </c>
      <c r="W101" s="13">
        <v>46122</v>
      </c>
      <c r="X101" s="12">
        <v>1992</v>
      </c>
      <c r="Y101" s="12">
        <v>5</v>
      </c>
      <c r="Z101" s="15" t="s">
        <v>535</v>
      </c>
      <c r="AT101" s="4"/>
      <c r="AU101" s="4"/>
      <c r="AV101" s="1"/>
    </row>
    <row r="102" spans="1:48" x14ac:dyDescent="0.3">
      <c r="A102" s="14">
        <v>101</v>
      </c>
      <c r="B102" s="12">
        <v>126901</v>
      </c>
      <c r="C102" s="12" t="s">
        <v>132</v>
      </c>
      <c r="D102" s="12" t="s">
        <v>6</v>
      </c>
      <c r="E102" s="12">
        <v>38</v>
      </c>
      <c r="F102" s="12" t="s">
        <v>557</v>
      </c>
      <c r="G102" s="12" t="s">
        <v>25</v>
      </c>
      <c r="H102" s="12" t="s">
        <v>31</v>
      </c>
      <c r="I102" s="12">
        <v>27</v>
      </c>
      <c r="J102" s="12">
        <v>27</v>
      </c>
      <c r="K102" s="12">
        <v>27</v>
      </c>
      <c r="L102" s="12">
        <v>28</v>
      </c>
      <c r="M102" s="12">
        <v>28</v>
      </c>
      <c r="N102" s="12">
        <v>28</v>
      </c>
      <c r="O102" s="12">
        <v>27</v>
      </c>
      <c r="P102" s="12">
        <v>28</v>
      </c>
      <c r="Q102" s="12">
        <v>27</v>
      </c>
      <c r="R102" s="12">
        <v>28</v>
      </c>
      <c r="S102" s="12">
        <v>27</v>
      </c>
      <c r="T102" s="12">
        <v>27</v>
      </c>
      <c r="U102" s="5">
        <v>329</v>
      </c>
      <c r="V102" s="5" t="s">
        <v>10</v>
      </c>
      <c r="W102" s="13">
        <v>46056</v>
      </c>
      <c r="X102" s="12">
        <v>1974</v>
      </c>
      <c r="Y102" s="12">
        <v>3</v>
      </c>
      <c r="Z102" s="15" t="s">
        <v>535</v>
      </c>
      <c r="AT102" s="4"/>
      <c r="AU102" s="4"/>
      <c r="AV102" s="1"/>
    </row>
    <row r="103" spans="1:48" x14ac:dyDescent="0.3">
      <c r="A103" s="14">
        <v>102</v>
      </c>
      <c r="B103" s="12">
        <v>126902</v>
      </c>
      <c r="C103" s="12" t="s">
        <v>133</v>
      </c>
      <c r="D103" s="12" t="s">
        <v>6</v>
      </c>
      <c r="E103" s="12">
        <v>40</v>
      </c>
      <c r="F103" s="12" t="s">
        <v>557</v>
      </c>
      <c r="G103" s="12" t="s">
        <v>30</v>
      </c>
      <c r="H103" s="12" t="s">
        <v>28</v>
      </c>
      <c r="I103" s="12">
        <v>28</v>
      </c>
      <c r="J103" s="12">
        <v>27</v>
      </c>
      <c r="K103" s="12">
        <v>28</v>
      </c>
      <c r="L103" s="12">
        <v>27</v>
      </c>
      <c r="M103" s="12">
        <v>27</v>
      </c>
      <c r="N103" s="12">
        <v>27</v>
      </c>
      <c r="O103" s="12">
        <v>28</v>
      </c>
      <c r="P103" s="12">
        <v>27</v>
      </c>
      <c r="Q103" s="12">
        <v>27</v>
      </c>
      <c r="R103" s="12">
        <v>27</v>
      </c>
      <c r="S103" s="12">
        <v>27</v>
      </c>
      <c r="T103" s="12">
        <v>27</v>
      </c>
      <c r="U103" s="5">
        <v>327</v>
      </c>
      <c r="V103" s="5" t="s">
        <v>17</v>
      </c>
      <c r="W103" s="13">
        <v>46278</v>
      </c>
      <c r="X103" s="12">
        <v>1962</v>
      </c>
      <c r="Y103" s="12">
        <v>5</v>
      </c>
      <c r="Z103" s="15" t="s">
        <v>535</v>
      </c>
      <c r="AT103" s="4"/>
      <c r="AU103" s="4"/>
      <c r="AV103" s="1"/>
    </row>
    <row r="104" spans="1:48" x14ac:dyDescent="0.3">
      <c r="A104" s="14">
        <v>103</v>
      </c>
      <c r="B104" s="12">
        <v>126903</v>
      </c>
      <c r="C104" s="12" t="s">
        <v>134</v>
      </c>
      <c r="D104" s="12" t="s">
        <v>6</v>
      </c>
      <c r="E104" s="12">
        <v>21</v>
      </c>
      <c r="F104" s="12" t="s">
        <v>555</v>
      </c>
      <c r="G104" s="12" t="s">
        <v>45</v>
      </c>
      <c r="H104" s="12" t="s">
        <v>31</v>
      </c>
      <c r="I104" s="12">
        <v>28</v>
      </c>
      <c r="J104" s="12">
        <v>28</v>
      </c>
      <c r="K104" s="12">
        <v>28</v>
      </c>
      <c r="L104" s="12">
        <v>28</v>
      </c>
      <c r="M104" s="12">
        <v>27</v>
      </c>
      <c r="N104" s="12">
        <v>28</v>
      </c>
      <c r="O104" s="12">
        <v>27</v>
      </c>
      <c r="P104" s="12">
        <v>27</v>
      </c>
      <c r="Q104" s="12">
        <v>28</v>
      </c>
      <c r="R104" s="12">
        <v>28</v>
      </c>
      <c r="S104" s="12">
        <v>28</v>
      </c>
      <c r="T104" s="12">
        <v>28</v>
      </c>
      <c r="U104" s="5">
        <v>333</v>
      </c>
      <c r="V104" s="5" t="s">
        <v>12</v>
      </c>
      <c r="W104" s="13">
        <v>46113</v>
      </c>
      <c r="X104" s="12">
        <v>1998</v>
      </c>
      <c r="Y104" s="12">
        <v>4</v>
      </c>
      <c r="Z104" s="15" t="s">
        <v>536</v>
      </c>
      <c r="AT104" s="4"/>
      <c r="AU104" s="4"/>
      <c r="AV104" s="1"/>
    </row>
    <row r="105" spans="1:48" x14ac:dyDescent="0.3">
      <c r="A105" s="14">
        <v>104</v>
      </c>
      <c r="B105" s="12">
        <v>126904</v>
      </c>
      <c r="C105" s="12" t="s">
        <v>135</v>
      </c>
      <c r="D105" s="12" t="s">
        <v>7</v>
      </c>
      <c r="E105" s="12">
        <v>28</v>
      </c>
      <c r="F105" s="12" t="s">
        <v>556</v>
      </c>
      <c r="G105" s="12" t="s">
        <v>25</v>
      </c>
      <c r="H105" s="12" t="s">
        <v>26</v>
      </c>
      <c r="I105" s="12">
        <v>28</v>
      </c>
      <c r="J105" s="12">
        <v>28</v>
      </c>
      <c r="K105" s="12">
        <v>28</v>
      </c>
      <c r="L105" s="12">
        <v>27</v>
      </c>
      <c r="M105" s="12">
        <v>28</v>
      </c>
      <c r="N105" s="12">
        <v>27</v>
      </c>
      <c r="O105" s="12">
        <v>28</v>
      </c>
      <c r="P105" s="12">
        <v>27</v>
      </c>
      <c r="Q105" s="12">
        <v>27</v>
      </c>
      <c r="R105" s="12">
        <v>28</v>
      </c>
      <c r="S105" s="12">
        <v>28</v>
      </c>
      <c r="T105" s="12">
        <v>27</v>
      </c>
      <c r="U105" s="5">
        <v>331</v>
      </c>
      <c r="V105" s="5" t="s">
        <v>14</v>
      </c>
      <c r="W105" s="13">
        <v>46193</v>
      </c>
      <c r="X105" s="12">
        <v>1986</v>
      </c>
      <c r="Y105" s="12">
        <v>4</v>
      </c>
      <c r="Z105" s="15" t="s">
        <v>535</v>
      </c>
      <c r="AT105" s="4"/>
      <c r="AU105" s="4"/>
      <c r="AV105" s="1"/>
    </row>
    <row r="106" spans="1:48" x14ac:dyDescent="0.3">
      <c r="A106" s="14">
        <v>105</v>
      </c>
      <c r="B106" s="12">
        <v>126905</v>
      </c>
      <c r="C106" s="12" t="s">
        <v>136</v>
      </c>
      <c r="D106" s="12" t="s">
        <v>6</v>
      </c>
      <c r="E106" s="12">
        <v>34</v>
      </c>
      <c r="F106" s="12" t="s">
        <v>556</v>
      </c>
      <c r="G106" s="12" t="s">
        <v>30</v>
      </c>
      <c r="H106" s="12" t="s">
        <v>31</v>
      </c>
      <c r="I106" s="12">
        <v>27</v>
      </c>
      <c r="J106" s="12">
        <v>27</v>
      </c>
      <c r="K106" s="12">
        <v>27</v>
      </c>
      <c r="L106" s="12">
        <v>27</v>
      </c>
      <c r="M106" s="12">
        <v>27</v>
      </c>
      <c r="N106" s="12">
        <v>27</v>
      </c>
      <c r="O106" s="12">
        <v>28</v>
      </c>
      <c r="P106" s="12">
        <v>27</v>
      </c>
      <c r="Q106" s="12">
        <v>28</v>
      </c>
      <c r="R106" s="12">
        <v>28</v>
      </c>
      <c r="S106" s="12">
        <v>27</v>
      </c>
      <c r="T106" s="12">
        <v>27</v>
      </c>
      <c r="U106" s="5">
        <v>327</v>
      </c>
      <c r="V106" s="5" t="s">
        <v>12</v>
      </c>
      <c r="W106" s="13">
        <v>46140</v>
      </c>
      <c r="X106" s="12">
        <v>1962</v>
      </c>
      <c r="Y106" s="12">
        <v>4</v>
      </c>
      <c r="Z106" s="15" t="s">
        <v>536</v>
      </c>
      <c r="AT106" s="4"/>
      <c r="AU106" s="4"/>
      <c r="AV106" s="1"/>
    </row>
    <row r="107" spans="1:48" x14ac:dyDescent="0.3">
      <c r="A107" s="14">
        <v>106</v>
      </c>
      <c r="B107" s="12">
        <v>126906</v>
      </c>
      <c r="C107" s="12" t="s">
        <v>137</v>
      </c>
      <c r="D107" s="12" t="s">
        <v>7</v>
      </c>
      <c r="E107" s="12">
        <v>44</v>
      </c>
      <c r="F107" s="12" t="s">
        <v>557</v>
      </c>
      <c r="G107" s="12" t="s">
        <v>25</v>
      </c>
      <c r="H107" s="12" t="s">
        <v>28</v>
      </c>
      <c r="I107" s="12">
        <v>27</v>
      </c>
      <c r="J107" s="12">
        <v>28</v>
      </c>
      <c r="K107" s="12">
        <v>28</v>
      </c>
      <c r="L107" s="12">
        <v>27</v>
      </c>
      <c r="M107" s="12">
        <v>28</v>
      </c>
      <c r="N107" s="12">
        <v>27</v>
      </c>
      <c r="O107" s="12">
        <v>28</v>
      </c>
      <c r="P107" s="12">
        <v>28</v>
      </c>
      <c r="Q107" s="12">
        <v>27</v>
      </c>
      <c r="R107" s="12">
        <v>28</v>
      </c>
      <c r="S107" s="12">
        <v>27</v>
      </c>
      <c r="T107" s="12">
        <v>28</v>
      </c>
      <c r="U107" s="5">
        <v>331</v>
      </c>
      <c r="V107" s="5" t="s">
        <v>17</v>
      </c>
      <c r="W107" s="13">
        <v>46275</v>
      </c>
      <c r="X107" s="12">
        <v>1986</v>
      </c>
      <c r="Y107" s="12">
        <v>5</v>
      </c>
      <c r="Z107" s="15" t="s">
        <v>535</v>
      </c>
      <c r="AT107" s="4"/>
      <c r="AU107" s="4"/>
      <c r="AV107" s="1"/>
    </row>
    <row r="108" spans="1:48" x14ac:dyDescent="0.3">
      <c r="A108" s="14">
        <v>107</v>
      </c>
      <c r="B108" s="12">
        <v>126907</v>
      </c>
      <c r="C108" s="12" t="s">
        <v>138</v>
      </c>
      <c r="D108" s="12" t="s">
        <v>7</v>
      </c>
      <c r="E108" s="12">
        <v>30</v>
      </c>
      <c r="F108" s="12" t="s">
        <v>556</v>
      </c>
      <c r="G108" s="12" t="s">
        <v>25</v>
      </c>
      <c r="H108" s="12" t="s">
        <v>28</v>
      </c>
      <c r="I108" s="12">
        <v>28</v>
      </c>
      <c r="J108" s="12">
        <v>28</v>
      </c>
      <c r="K108" s="12">
        <v>28</v>
      </c>
      <c r="L108" s="12">
        <v>28</v>
      </c>
      <c r="M108" s="12">
        <v>27</v>
      </c>
      <c r="N108" s="12">
        <v>28</v>
      </c>
      <c r="O108" s="12">
        <v>28</v>
      </c>
      <c r="P108" s="12">
        <v>28</v>
      </c>
      <c r="Q108" s="12">
        <v>28</v>
      </c>
      <c r="R108" s="12">
        <v>28</v>
      </c>
      <c r="S108" s="12">
        <v>28</v>
      </c>
      <c r="T108" s="12">
        <v>27</v>
      </c>
      <c r="U108" s="5">
        <v>334</v>
      </c>
      <c r="V108" s="5" t="s">
        <v>12</v>
      </c>
      <c r="W108" s="13">
        <v>46125</v>
      </c>
      <c r="X108" s="12">
        <v>2004</v>
      </c>
      <c r="Y108" s="12">
        <v>4</v>
      </c>
      <c r="Z108" s="15" t="s">
        <v>536</v>
      </c>
      <c r="AT108" s="4"/>
      <c r="AU108" s="4"/>
      <c r="AV108" s="1"/>
    </row>
    <row r="109" spans="1:48" x14ac:dyDescent="0.3">
      <c r="A109" s="14">
        <v>108</v>
      </c>
      <c r="B109" s="12">
        <v>126908</v>
      </c>
      <c r="C109" s="12" t="s">
        <v>139</v>
      </c>
      <c r="D109" s="12" t="s">
        <v>6</v>
      </c>
      <c r="E109" s="12">
        <v>28</v>
      </c>
      <c r="F109" s="12" t="s">
        <v>556</v>
      </c>
      <c r="G109" s="12" t="s">
        <v>25</v>
      </c>
      <c r="H109" s="12" t="s">
        <v>31</v>
      </c>
      <c r="I109" s="12">
        <v>28</v>
      </c>
      <c r="J109" s="12">
        <v>28</v>
      </c>
      <c r="K109" s="12">
        <v>28</v>
      </c>
      <c r="L109" s="12">
        <v>27</v>
      </c>
      <c r="M109" s="12">
        <v>27</v>
      </c>
      <c r="N109" s="12">
        <v>27</v>
      </c>
      <c r="O109" s="12">
        <v>28</v>
      </c>
      <c r="P109" s="12">
        <v>27</v>
      </c>
      <c r="Q109" s="12">
        <v>27</v>
      </c>
      <c r="R109" s="12">
        <v>27</v>
      </c>
      <c r="S109" s="12">
        <v>27</v>
      </c>
      <c r="T109" s="12">
        <v>27</v>
      </c>
      <c r="U109" s="5">
        <v>328</v>
      </c>
      <c r="V109" s="5" t="s">
        <v>11</v>
      </c>
      <c r="W109" s="13">
        <v>46093</v>
      </c>
      <c r="X109" s="12">
        <v>1968</v>
      </c>
      <c r="Y109" s="12">
        <v>3</v>
      </c>
      <c r="Z109" s="15" t="s">
        <v>535</v>
      </c>
      <c r="AT109" s="4"/>
      <c r="AU109" s="4"/>
      <c r="AV109" s="1"/>
    </row>
    <row r="110" spans="1:48" x14ac:dyDescent="0.3">
      <c r="A110" s="14">
        <v>109</v>
      </c>
      <c r="B110" s="12">
        <v>126909</v>
      </c>
      <c r="C110" s="12" t="s">
        <v>140</v>
      </c>
      <c r="D110" s="12" t="s">
        <v>6</v>
      </c>
      <c r="E110" s="12">
        <v>20</v>
      </c>
      <c r="F110" s="12" t="s">
        <v>555</v>
      </c>
      <c r="G110" s="12" t="s">
        <v>25</v>
      </c>
      <c r="H110" s="12" t="s">
        <v>26</v>
      </c>
      <c r="I110" s="12">
        <v>28</v>
      </c>
      <c r="J110" s="12">
        <v>27</v>
      </c>
      <c r="K110" s="12">
        <v>28</v>
      </c>
      <c r="L110" s="12">
        <v>28</v>
      </c>
      <c r="M110" s="12">
        <v>28</v>
      </c>
      <c r="N110" s="12">
        <v>28</v>
      </c>
      <c r="O110" s="12">
        <v>27</v>
      </c>
      <c r="P110" s="12">
        <v>27</v>
      </c>
      <c r="Q110" s="12">
        <v>27</v>
      </c>
      <c r="R110" s="12">
        <v>27</v>
      </c>
      <c r="S110" s="12">
        <v>28</v>
      </c>
      <c r="T110" s="12">
        <v>27</v>
      </c>
      <c r="U110" s="5">
        <v>330</v>
      </c>
      <c r="V110" s="5" t="s">
        <v>16</v>
      </c>
      <c r="W110" s="13">
        <v>46241</v>
      </c>
      <c r="X110" s="12">
        <v>1980</v>
      </c>
      <c r="Y110" s="12">
        <v>4</v>
      </c>
      <c r="Z110" s="15" t="s">
        <v>536</v>
      </c>
      <c r="AT110" s="4"/>
      <c r="AU110" s="4"/>
      <c r="AV110" s="1"/>
    </row>
    <row r="111" spans="1:48" x14ac:dyDescent="0.3">
      <c r="A111" s="14">
        <v>110</v>
      </c>
      <c r="B111" s="12">
        <v>126910</v>
      </c>
      <c r="C111" s="12" t="s">
        <v>141</v>
      </c>
      <c r="D111" s="12" t="s">
        <v>6</v>
      </c>
      <c r="E111" s="12">
        <v>24</v>
      </c>
      <c r="F111" s="12" t="s">
        <v>555</v>
      </c>
      <c r="G111" s="12" t="s">
        <v>38</v>
      </c>
      <c r="H111" s="12" t="s">
        <v>31</v>
      </c>
      <c r="I111" s="12">
        <v>28</v>
      </c>
      <c r="J111" s="12">
        <v>27</v>
      </c>
      <c r="K111" s="12">
        <v>27</v>
      </c>
      <c r="L111" s="12">
        <v>27</v>
      </c>
      <c r="M111" s="12">
        <v>27</v>
      </c>
      <c r="N111" s="12">
        <v>28</v>
      </c>
      <c r="O111" s="12">
        <v>27</v>
      </c>
      <c r="P111" s="12">
        <v>28</v>
      </c>
      <c r="Q111" s="12">
        <v>27</v>
      </c>
      <c r="R111" s="12">
        <v>28</v>
      </c>
      <c r="S111" s="12">
        <v>27</v>
      </c>
      <c r="T111" s="12">
        <v>28</v>
      </c>
      <c r="U111" s="5">
        <v>329</v>
      </c>
      <c r="V111" s="5" t="s">
        <v>16</v>
      </c>
      <c r="W111" s="13">
        <v>46236</v>
      </c>
      <c r="X111" s="12">
        <v>1974</v>
      </c>
      <c r="Y111" s="12">
        <v>4</v>
      </c>
      <c r="Z111" s="15" t="s">
        <v>536</v>
      </c>
      <c r="AT111" s="4"/>
      <c r="AU111" s="4"/>
      <c r="AV111" s="1"/>
    </row>
    <row r="112" spans="1:48" x14ac:dyDescent="0.3">
      <c r="A112" s="14">
        <v>111</v>
      </c>
      <c r="B112" s="12">
        <v>126911</v>
      </c>
      <c r="C112" s="12" t="s">
        <v>142</v>
      </c>
      <c r="D112" s="12" t="s">
        <v>6</v>
      </c>
      <c r="E112" s="12">
        <v>44</v>
      </c>
      <c r="F112" s="12" t="s">
        <v>557</v>
      </c>
      <c r="G112" s="12" t="s">
        <v>35</v>
      </c>
      <c r="H112" s="12" t="s">
        <v>26</v>
      </c>
      <c r="I112" s="12">
        <v>27</v>
      </c>
      <c r="J112" s="12">
        <v>28</v>
      </c>
      <c r="K112" s="12">
        <v>28</v>
      </c>
      <c r="L112" s="12">
        <v>27</v>
      </c>
      <c r="M112" s="12">
        <v>27</v>
      </c>
      <c r="N112" s="12">
        <v>27</v>
      </c>
      <c r="O112" s="12">
        <v>27</v>
      </c>
      <c r="P112" s="12">
        <v>27</v>
      </c>
      <c r="Q112" s="12">
        <v>27</v>
      </c>
      <c r="R112" s="12">
        <v>27</v>
      </c>
      <c r="S112" s="12">
        <v>27</v>
      </c>
      <c r="T112" s="12">
        <v>28</v>
      </c>
      <c r="U112" s="5">
        <v>327</v>
      </c>
      <c r="V112" s="5" t="s">
        <v>16</v>
      </c>
      <c r="W112" s="13">
        <v>46240</v>
      </c>
      <c r="X112" s="12">
        <v>1962</v>
      </c>
      <c r="Y112" s="12">
        <v>4</v>
      </c>
      <c r="Z112" s="15" t="s">
        <v>535</v>
      </c>
      <c r="AT112" s="4"/>
      <c r="AU112" s="4"/>
      <c r="AV112" s="1"/>
    </row>
    <row r="113" spans="1:48" x14ac:dyDescent="0.3">
      <c r="A113" s="14">
        <v>112</v>
      </c>
      <c r="B113" s="12">
        <v>126912</v>
      </c>
      <c r="C113" s="12" t="s">
        <v>143</v>
      </c>
      <c r="D113" s="12" t="s">
        <v>6</v>
      </c>
      <c r="E113" s="12">
        <v>44</v>
      </c>
      <c r="F113" s="12" t="s">
        <v>557</v>
      </c>
      <c r="G113" s="12" t="s">
        <v>45</v>
      </c>
      <c r="H113" s="12" t="s">
        <v>28</v>
      </c>
      <c r="I113" s="12">
        <v>27</v>
      </c>
      <c r="J113" s="12">
        <v>28</v>
      </c>
      <c r="K113" s="12">
        <v>28</v>
      </c>
      <c r="L113" s="12">
        <v>28</v>
      </c>
      <c r="M113" s="12">
        <v>27</v>
      </c>
      <c r="N113" s="12">
        <v>28</v>
      </c>
      <c r="O113" s="12">
        <v>28</v>
      </c>
      <c r="P113" s="12">
        <v>28</v>
      </c>
      <c r="Q113" s="12">
        <v>27</v>
      </c>
      <c r="R113" s="12">
        <v>27</v>
      </c>
      <c r="S113" s="12">
        <v>27</v>
      </c>
      <c r="T113" s="12">
        <v>27</v>
      </c>
      <c r="U113" s="5">
        <v>330</v>
      </c>
      <c r="V113" s="5" t="s">
        <v>10</v>
      </c>
      <c r="W113" s="13">
        <v>46057</v>
      </c>
      <c r="X113" s="12">
        <v>1980</v>
      </c>
      <c r="Y113" s="12">
        <v>4</v>
      </c>
      <c r="Z113" s="15" t="s">
        <v>536</v>
      </c>
      <c r="AT113" s="4"/>
      <c r="AU113" s="4"/>
      <c r="AV113" s="1"/>
    </row>
    <row r="114" spans="1:48" x14ac:dyDescent="0.3">
      <c r="A114" s="14">
        <v>113</v>
      </c>
      <c r="B114" s="12">
        <v>126913</v>
      </c>
      <c r="C114" s="12" t="s">
        <v>144</v>
      </c>
      <c r="D114" s="12" t="s">
        <v>6</v>
      </c>
      <c r="E114" s="12">
        <v>38</v>
      </c>
      <c r="F114" s="12" t="s">
        <v>557</v>
      </c>
      <c r="G114" s="12" t="s">
        <v>35</v>
      </c>
      <c r="H114" s="12" t="s">
        <v>26</v>
      </c>
      <c r="I114" s="12">
        <v>27</v>
      </c>
      <c r="J114" s="12">
        <v>28</v>
      </c>
      <c r="K114" s="12">
        <v>27</v>
      </c>
      <c r="L114" s="12">
        <v>28</v>
      </c>
      <c r="M114" s="12">
        <v>28</v>
      </c>
      <c r="N114" s="12">
        <v>27</v>
      </c>
      <c r="O114" s="12">
        <v>28</v>
      </c>
      <c r="P114" s="12">
        <v>28</v>
      </c>
      <c r="Q114" s="12">
        <v>27</v>
      </c>
      <c r="R114" s="12">
        <v>27</v>
      </c>
      <c r="S114" s="12">
        <v>28</v>
      </c>
      <c r="T114" s="12">
        <v>28</v>
      </c>
      <c r="U114" s="5">
        <v>331</v>
      </c>
      <c r="V114" s="5" t="s">
        <v>14</v>
      </c>
      <c r="W114" s="13">
        <v>46183</v>
      </c>
      <c r="X114" s="12">
        <v>1986</v>
      </c>
      <c r="Y114" s="12">
        <v>3</v>
      </c>
      <c r="Z114" s="15" t="s">
        <v>536</v>
      </c>
      <c r="AT114" s="4"/>
      <c r="AU114" s="4"/>
      <c r="AV114" s="1"/>
    </row>
    <row r="115" spans="1:48" x14ac:dyDescent="0.3">
      <c r="A115" s="14">
        <v>114</v>
      </c>
      <c r="B115" s="12">
        <v>126914</v>
      </c>
      <c r="C115" s="12" t="s">
        <v>145</v>
      </c>
      <c r="D115" s="12" t="s">
        <v>6</v>
      </c>
      <c r="E115" s="12">
        <v>28</v>
      </c>
      <c r="F115" s="12" t="s">
        <v>556</v>
      </c>
      <c r="G115" s="12" t="s">
        <v>35</v>
      </c>
      <c r="H115" s="12" t="s">
        <v>26</v>
      </c>
      <c r="I115" s="12">
        <v>28</v>
      </c>
      <c r="J115" s="12">
        <v>27</v>
      </c>
      <c r="K115" s="12">
        <v>28</v>
      </c>
      <c r="L115" s="12">
        <v>28</v>
      </c>
      <c r="M115" s="12">
        <v>28</v>
      </c>
      <c r="N115" s="12">
        <v>28</v>
      </c>
      <c r="O115" s="12">
        <v>27</v>
      </c>
      <c r="P115" s="12">
        <v>28</v>
      </c>
      <c r="Q115" s="12">
        <v>28</v>
      </c>
      <c r="R115" s="12">
        <v>28</v>
      </c>
      <c r="S115" s="12">
        <v>28</v>
      </c>
      <c r="T115" s="12">
        <v>27</v>
      </c>
      <c r="U115" s="5">
        <v>333</v>
      </c>
      <c r="V115" s="5" t="s">
        <v>15</v>
      </c>
      <c r="W115" s="13">
        <v>46210</v>
      </c>
      <c r="X115" s="12">
        <v>1998</v>
      </c>
      <c r="Y115" s="12">
        <v>5</v>
      </c>
      <c r="Z115" s="15" t="s">
        <v>535</v>
      </c>
      <c r="AT115" s="4"/>
      <c r="AU115" s="4"/>
      <c r="AV115" s="1"/>
    </row>
    <row r="116" spans="1:48" x14ac:dyDescent="0.3">
      <c r="A116" s="14">
        <v>115</v>
      </c>
      <c r="B116" s="12">
        <v>126915</v>
      </c>
      <c r="C116" s="12" t="s">
        <v>146</v>
      </c>
      <c r="D116" s="12" t="s">
        <v>7</v>
      </c>
      <c r="E116" s="12">
        <v>30</v>
      </c>
      <c r="F116" s="12" t="s">
        <v>556</v>
      </c>
      <c r="G116" s="12" t="s">
        <v>35</v>
      </c>
      <c r="H116" s="12" t="s">
        <v>31</v>
      </c>
      <c r="I116" s="12">
        <v>28</v>
      </c>
      <c r="J116" s="12">
        <v>27</v>
      </c>
      <c r="K116" s="12">
        <v>27</v>
      </c>
      <c r="L116" s="12">
        <v>28</v>
      </c>
      <c r="M116" s="12">
        <v>28</v>
      </c>
      <c r="N116" s="12">
        <v>27</v>
      </c>
      <c r="O116" s="12">
        <v>27</v>
      </c>
      <c r="P116" s="12">
        <v>28</v>
      </c>
      <c r="Q116" s="12">
        <v>28</v>
      </c>
      <c r="R116" s="12">
        <v>28</v>
      </c>
      <c r="S116" s="12">
        <v>28</v>
      </c>
      <c r="T116" s="12">
        <v>28</v>
      </c>
      <c r="U116" s="5">
        <v>332</v>
      </c>
      <c r="V116" s="5" t="s">
        <v>11</v>
      </c>
      <c r="W116" s="13">
        <v>46111</v>
      </c>
      <c r="X116" s="12">
        <v>1992</v>
      </c>
      <c r="Y116" s="12">
        <v>3</v>
      </c>
      <c r="Z116" s="15" t="s">
        <v>535</v>
      </c>
      <c r="AT116" s="4"/>
      <c r="AU116" s="4"/>
      <c r="AV116" s="1"/>
    </row>
    <row r="117" spans="1:48" x14ac:dyDescent="0.3">
      <c r="A117" s="14">
        <v>116</v>
      </c>
      <c r="B117" s="12">
        <v>126916</v>
      </c>
      <c r="C117" s="12" t="s">
        <v>147</v>
      </c>
      <c r="D117" s="12" t="s">
        <v>7</v>
      </c>
      <c r="E117" s="12">
        <v>31</v>
      </c>
      <c r="F117" s="12" t="s">
        <v>556</v>
      </c>
      <c r="G117" s="12" t="s">
        <v>38</v>
      </c>
      <c r="H117" s="12" t="s">
        <v>26</v>
      </c>
      <c r="I117" s="12">
        <v>28</v>
      </c>
      <c r="J117" s="12">
        <v>27</v>
      </c>
      <c r="K117" s="12">
        <v>27</v>
      </c>
      <c r="L117" s="12">
        <v>27</v>
      </c>
      <c r="M117" s="12">
        <v>27</v>
      </c>
      <c r="N117" s="12">
        <v>27</v>
      </c>
      <c r="O117" s="12">
        <v>27</v>
      </c>
      <c r="P117" s="12">
        <v>28</v>
      </c>
      <c r="Q117" s="12">
        <v>28</v>
      </c>
      <c r="R117" s="12">
        <v>28</v>
      </c>
      <c r="S117" s="12">
        <v>28</v>
      </c>
      <c r="T117" s="12">
        <v>28</v>
      </c>
      <c r="U117" s="5">
        <v>330</v>
      </c>
      <c r="V117" s="5" t="s">
        <v>14</v>
      </c>
      <c r="W117" s="13">
        <v>46183</v>
      </c>
      <c r="X117" s="12">
        <v>1980</v>
      </c>
      <c r="Y117" s="12">
        <v>4</v>
      </c>
      <c r="Z117" s="15" t="s">
        <v>536</v>
      </c>
      <c r="AT117" s="4"/>
      <c r="AU117" s="4"/>
      <c r="AV117" s="1"/>
    </row>
    <row r="118" spans="1:48" x14ac:dyDescent="0.3">
      <c r="A118" s="14">
        <v>117</v>
      </c>
      <c r="B118" s="12">
        <v>126917</v>
      </c>
      <c r="C118" s="12" t="s">
        <v>148</v>
      </c>
      <c r="D118" s="12" t="s">
        <v>6</v>
      </c>
      <c r="E118" s="12">
        <v>19</v>
      </c>
      <c r="F118" s="12" t="s">
        <v>555</v>
      </c>
      <c r="G118" s="12" t="s">
        <v>38</v>
      </c>
      <c r="H118" s="12" t="s">
        <v>31</v>
      </c>
      <c r="I118" s="12">
        <v>28</v>
      </c>
      <c r="J118" s="12">
        <v>27</v>
      </c>
      <c r="K118" s="12">
        <v>27</v>
      </c>
      <c r="L118" s="12">
        <v>28</v>
      </c>
      <c r="M118" s="12">
        <v>27</v>
      </c>
      <c r="N118" s="12">
        <v>27</v>
      </c>
      <c r="O118" s="12">
        <v>28</v>
      </c>
      <c r="P118" s="12">
        <v>27</v>
      </c>
      <c r="Q118" s="12">
        <v>28</v>
      </c>
      <c r="R118" s="12">
        <v>27</v>
      </c>
      <c r="S118" s="12">
        <v>28</v>
      </c>
      <c r="T118" s="12">
        <v>27</v>
      </c>
      <c r="U118" s="5">
        <v>329</v>
      </c>
      <c r="V118" s="5" t="s">
        <v>14</v>
      </c>
      <c r="W118" s="13">
        <v>46196</v>
      </c>
      <c r="X118" s="12">
        <v>1974</v>
      </c>
      <c r="Y118" s="12">
        <v>4</v>
      </c>
      <c r="Z118" s="15" t="s">
        <v>535</v>
      </c>
      <c r="AT118" s="4"/>
      <c r="AU118" s="4"/>
      <c r="AV118" s="1"/>
    </row>
    <row r="119" spans="1:48" x14ac:dyDescent="0.3">
      <c r="A119" s="14">
        <v>118</v>
      </c>
      <c r="B119" s="12">
        <v>126918</v>
      </c>
      <c r="C119" s="12" t="s">
        <v>149</v>
      </c>
      <c r="D119" s="12" t="s">
        <v>6</v>
      </c>
      <c r="E119" s="12">
        <v>28</v>
      </c>
      <c r="F119" s="12" t="s">
        <v>556</v>
      </c>
      <c r="G119" s="12" t="s">
        <v>30</v>
      </c>
      <c r="H119" s="12" t="s">
        <v>31</v>
      </c>
      <c r="I119" s="12">
        <v>28</v>
      </c>
      <c r="J119" s="12">
        <v>28</v>
      </c>
      <c r="K119" s="12">
        <v>27</v>
      </c>
      <c r="L119" s="12">
        <v>28</v>
      </c>
      <c r="M119" s="12">
        <v>27</v>
      </c>
      <c r="N119" s="12">
        <v>28</v>
      </c>
      <c r="O119" s="12">
        <v>28</v>
      </c>
      <c r="P119" s="12">
        <v>27</v>
      </c>
      <c r="Q119" s="12">
        <v>27</v>
      </c>
      <c r="R119" s="12">
        <v>27</v>
      </c>
      <c r="S119" s="12">
        <v>28</v>
      </c>
      <c r="T119" s="12">
        <v>27</v>
      </c>
      <c r="U119" s="5">
        <v>330</v>
      </c>
      <c r="V119" s="5" t="s">
        <v>17</v>
      </c>
      <c r="W119" s="13">
        <v>46291</v>
      </c>
      <c r="X119" s="12">
        <v>1980</v>
      </c>
      <c r="Y119" s="12">
        <v>4</v>
      </c>
      <c r="Z119" s="15" t="s">
        <v>535</v>
      </c>
      <c r="AT119" s="4"/>
      <c r="AU119" s="4"/>
      <c r="AV119" s="1"/>
    </row>
    <row r="120" spans="1:48" x14ac:dyDescent="0.3">
      <c r="A120" s="14">
        <v>119</v>
      </c>
      <c r="B120" s="12">
        <v>126919</v>
      </c>
      <c r="C120" s="12" t="s">
        <v>150</v>
      </c>
      <c r="D120" s="12" t="s">
        <v>6</v>
      </c>
      <c r="E120" s="12">
        <v>29</v>
      </c>
      <c r="F120" s="12" t="s">
        <v>556</v>
      </c>
      <c r="G120" s="12" t="s">
        <v>35</v>
      </c>
      <c r="H120" s="12" t="s">
        <v>26</v>
      </c>
      <c r="I120" s="12">
        <v>27</v>
      </c>
      <c r="J120" s="12">
        <v>28</v>
      </c>
      <c r="K120" s="12">
        <v>27</v>
      </c>
      <c r="L120" s="12">
        <v>27</v>
      </c>
      <c r="M120" s="12">
        <v>27</v>
      </c>
      <c r="N120" s="12">
        <v>28</v>
      </c>
      <c r="O120" s="12">
        <v>28</v>
      </c>
      <c r="P120" s="12">
        <v>28</v>
      </c>
      <c r="Q120" s="12">
        <v>28</v>
      </c>
      <c r="R120" s="12">
        <v>27</v>
      </c>
      <c r="S120" s="12">
        <v>27</v>
      </c>
      <c r="T120" s="12">
        <v>28</v>
      </c>
      <c r="U120" s="5">
        <v>330</v>
      </c>
      <c r="V120" s="5" t="s">
        <v>15</v>
      </c>
      <c r="W120" s="13">
        <v>46207</v>
      </c>
      <c r="X120" s="12">
        <v>1980</v>
      </c>
      <c r="Y120" s="12">
        <v>5</v>
      </c>
      <c r="Z120" s="15" t="s">
        <v>536</v>
      </c>
      <c r="AT120" s="4"/>
      <c r="AU120" s="4"/>
      <c r="AV120" s="1"/>
    </row>
    <row r="121" spans="1:48" x14ac:dyDescent="0.3">
      <c r="A121" s="14">
        <v>120</v>
      </c>
      <c r="B121" s="12">
        <v>126920</v>
      </c>
      <c r="C121" s="12" t="s">
        <v>151</v>
      </c>
      <c r="D121" s="12" t="s">
        <v>6</v>
      </c>
      <c r="E121" s="12">
        <v>34</v>
      </c>
      <c r="F121" s="12" t="s">
        <v>556</v>
      </c>
      <c r="G121" s="12" t="s">
        <v>45</v>
      </c>
      <c r="H121" s="12" t="s">
        <v>31</v>
      </c>
      <c r="I121" s="12">
        <v>27</v>
      </c>
      <c r="J121" s="12">
        <v>27</v>
      </c>
      <c r="K121" s="12">
        <v>27</v>
      </c>
      <c r="L121" s="12">
        <v>27</v>
      </c>
      <c r="M121" s="12">
        <v>27</v>
      </c>
      <c r="N121" s="12">
        <v>27</v>
      </c>
      <c r="O121" s="12">
        <v>28</v>
      </c>
      <c r="P121" s="12">
        <v>28</v>
      </c>
      <c r="Q121" s="12">
        <v>28</v>
      </c>
      <c r="R121" s="12">
        <v>28</v>
      </c>
      <c r="S121" s="12">
        <v>28</v>
      </c>
      <c r="T121" s="12">
        <v>27</v>
      </c>
      <c r="U121" s="5">
        <v>329</v>
      </c>
      <c r="V121" s="5" t="s">
        <v>12</v>
      </c>
      <c r="W121" s="13">
        <v>46124</v>
      </c>
      <c r="X121" s="12">
        <v>1974</v>
      </c>
      <c r="Y121" s="12">
        <v>4</v>
      </c>
      <c r="Z121" s="15" t="s">
        <v>536</v>
      </c>
      <c r="AT121" s="4"/>
      <c r="AU121" s="4"/>
      <c r="AV121" s="1"/>
    </row>
    <row r="122" spans="1:48" x14ac:dyDescent="0.3">
      <c r="A122" s="14">
        <v>121</v>
      </c>
      <c r="B122" s="12">
        <v>126921</v>
      </c>
      <c r="C122" s="12" t="s">
        <v>152</v>
      </c>
      <c r="D122" s="12" t="s">
        <v>6</v>
      </c>
      <c r="E122" s="12">
        <v>33</v>
      </c>
      <c r="F122" s="12" t="s">
        <v>556</v>
      </c>
      <c r="G122" s="12" t="s">
        <v>35</v>
      </c>
      <c r="H122" s="12" t="s">
        <v>26</v>
      </c>
      <c r="I122" s="12">
        <v>28</v>
      </c>
      <c r="J122" s="12">
        <v>27</v>
      </c>
      <c r="K122" s="12">
        <v>27</v>
      </c>
      <c r="L122" s="12">
        <v>28</v>
      </c>
      <c r="M122" s="12">
        <v>27</v>
      </c>
      <c r="N122" s="12">
        <v>27</v>
      </c>
      <c r="O122" s="12">
        <v>27</v>
      </c>
      <c r="P122" s="12">
        <v>27</v>
      </c>
      <c r="Q122" s="12">
        <v>28</v>
      </c>
      <c r="R122" s="12">
        <v>28</v>
      </c>
      <c r="S122" s="12">
        <v>28</v>
      </c>
      <c r="T122" s="12">
        <v>28</v>
      </c>
      <c r="U122" s="5">
        <v>330</v>
      </c>
      <c r="V122" s="5" t="s">
        <v>16</v>
      </c>
      <c r="W122" s="13">
        <v>46244</v>
      </c>
      <c r="X122" s="12">
        <v>1980</v>
      </c>
      <c r="Y122" s="12">
        <v>5</v>
      </c>
      <c r="Z122" s="15" t="s">
        <v>535</v>
      </c>
      <c r="AT122" s="4"/>
      <c r="AU122" s="4"/>
      <c r="AV122" s="1"/>
    </row>
    <row r="123" spans="1:48" x14ac:dyDescent="0.3">
      <c r="A123" s="14">
        <v>122</v>
      </c>
      <c r="B123" s="12">
        <v>126922</v>
      </c>
      <c r="C123" s="12" t="s">
        <v>153</v>
      </c>
      <c r="D123" s="12" t="s">
        <v>7</v>
      </c>
      <c r="E123" s="12">
        <v>40</v>
      </c>
      <c r="F123" s="12" t="s">
        <v>557</v>
      </c>
      <c r="G123" s="12" t="s">
        <v>30</v>
      </c>
      <c r="H123" s="12" t="s">
        <v>26</v>
      </c>
      <c r="I123" s="12">
        <v>27</v>
      </c>
      <c r="J123" s="12">
        <v>27</v>
      </c>
      <c r="K123" s="12">
        <v>28</v>
      </c>
      <c r="L123" s="12">
        <v>28</v>
      </c>
      <c r="M123" s="12">
        <v>27</v>
      </c>
      <c r="N123" s="12">
        <v>27</v>
      </c>
      <c r="O123" s="12">
        <v>28</v>
      </c>
      <c r="P123" s="12">
        <v>28</v>
      </c>
      <c r="Q123" s="12">
        <v>28</v>
      </c>
      <c r="R123" s="12">
        <v>27</v>
      </c>
      <c r="S123" s="12">
        <v>27</v>
      </c>
      <c r="T123" s="12">
        <v>28</v>
      </c>
      <c r="U123" s="5">
        <v>330</v>
      </c>
      <c r="V123" s="5" t="s">
        <v>16</v>
      </c>
      <c r="W123" s="13">
        <v>46251</v>
      </c>
      <c r="X123" s="12">
        <v>1980</v>
      </c>
      <c r="Y123" s="12">
        <v>3</v>
      </c>
      <c r="Z123" s="15" t="s">
        <v>536</v>
      </c>
      <c r="AT123" s="4"/>
      <c r="AU123" s="4"/>
      <c r="AV123" s="1"/>
    </row>
    <row r="124" spans="1:48" x14ac:dyDescent="0.3">
      <c r="A124" s="14">
        <v>123</v>
      </c>
      <c r="B124" s="12">
        <v>126923</v>
      </c>
      <c r="C124" s="12" t="s">
        <v>154</v>
      </c>
      <c r="D124" s="12" t="s">
        <v>6</v>
      </c>
      <c r="E124" s="12">
        <v>40</v>
      </c>
      <c r="F124" s="12" t="s">
        <v>557</v>
      </c>
      <c r="G124" s="12" t="s">
        <v>30</v>
      </c>
      <c r="H124" s="12" t="s">
        <v>26</v>
      </c>
      <c r="I124" s="12">
        <v>27</v>
      </c>
      <c r="J124" s="12">
        <v>28</v>
      </c>
      <c r="K124" s="12">
        <v>27</v>
      </c>
      <c r="L124" s="12">
        <v>28</v>
      </c>
      <c r="M124" s="12">
        <v>27</v>
      </c>
      <c r="N124" s="12">
        <v>27</v>
      </c>
      <c r="O124" s="12">
        <v>27</v>
      </c>
      <c r="P124" s="12">
        <v>27</v>
      </c>
      <c r="Q124" s="12">
        <v>27</v>
      </c>
      <c r="R124" s="12">
        <v>27</v>
      </c>
      <c r="S124" s="12">
        <v>28</v>
      </c>
      <c r="T124" s="12">
        <v>28</v>
      </c>
      <c r="U124" s="5">
        <v>328</v>
      </c>
      <c r="V124" s="5" t="s">
        <v>11</v>
      </c>
      <c r="W124" s="13">
        <v>46094</v>
      </c>
      <c r="X124" s="12">
        <v>1968</v>
      </c>
      <c r="Y124" s="12">
        <v>3</v>
      </c>
      <c r="Z124" s="15" t="s">
        <v>535</v>
      </c>
      <c r="AT124" s="4"/>
      <c r="AU124" s="4"/>
      <c r="AV124" s="1"/>
    </row>
    <row r="125" spans="1:48" x14ac:dyDescent="0.3">
      <c r="A125" s="14">
        <v>124</v>
      </c>
      <c r="B125" s="12">
        <v>126924</v>
      </c>
      <c r="C125" s="12" t="s">
        <v>155</v>
      </c>
      <c r="D125" s="12" t="s">
        <v>6</v>
      </c>
      <c r="E125" s="12">
        <v>37</v>
      </c>
      <c r="F125" s="12" t="s">
        <v>557</v>
      </c>
      <c r="G125" s="12" t="s">
        <v>30</v>
      </c>
      <c r="H125" s="12" t="s">
        <v>28</v>
      </c>
      <c r="I125" s="12">
        <v>27</v>
      </c>
      <c r="J125" s="12">
        <v>27</v>
      </c>
      <c r="K125" s="12">
        <v>27</v>
      </c>
      <c r="L125" s="12">
        <v>27</v>
      </c>
      <c r="M125" s="12">
        <v>27</v>
      </c>
      <c r="N125" s="12">
        <v>27</v>
      </c>
      <c r="O125" s="12">
        <v>28</v>
      </c>
      <c r="P125" s="12">
        <v>28</v>
      </c>
      <c r="Q125" s="12">
        <v>28</v>
      </c>
      <c r="R125" s="12">
        <v>28</v>
      </c>
      <c r="S125" s="12">
        <v>28</v>
      </c>
      <c r="T125" s="12">
        <v>28</v>
      </c>
      <c r="U125" s="5">
        <v>330</v>
      </c>
      <c r="V125" s="5" t="s">
        <v>11</v>
      </c>
      <c r="W125" s="13">
        <v>46090</v>
      </c>
      <c r="X125" s="12">
        <v>1980</v>
      </c>
      <c r="Y125" s="12">
        <v>5</v>
      </c>
      <c r="Z125" s="15" t="s">
        <v>536</v>
      </c>
      <c r="AT125" s="4"/>
      <c r="AU125" s="4"/>
      <c r="AV125" s="1"/>
    </row>
    <row r="126" spans="1:48" x14ac:dyDescent="0.3">
      <c r="A126" s="14">
        <v>125</v>
      </c>
      <c r="B126" s="12">
        <v>126925</v>
      </c>
      <c r="C126" s="12" t="s">
        <v>156</v>
      </c>
      <c r="D126" s="12" t="s">
        <v>6</v>
      </c>
      <c r="E126" s="12">
        <v>20</v>
      </c>
      <c r="F126" s="12" t="s">
        <v>555</v>
      </c>
      <c r="G126" s="12" t="s">
        <v>45</v>
      </c>
      <c r="H126" s="12" t="s">
        <v>26</v>
      </c>
      <c r="I126" s="12">
        <v>27</v>
      </c>
      <c r="J126" s="12">
        <v>27</v>
      </c>
      <c r="K126" s="12">
        <v>28</v>
      </c>
      <c r="L126" s="12">
        <v>27</v>
      </c>
      <c r="M126" s="12">
        <v>27</v>
      </c>
      <c r="N126" s="12">
        <v>27</v>
      </c>
      <c r="O126" s="12">
        <v>28</v>
      </c>
      <c r="P126" s="12">
        <v>28</v>
      </c>
      <c r="Q126" s="12">
        <v>27</v>
      </c>
      <c r="R126" s="12">
        <v>27</v>
      </c>
      <c r="S126" s="12">
        <v>28</v>
      </c>
      <c r="T126" s="12">
        <v>27</v>
      </c>
      <c r="U126" s="5">
        <v>328</v>
      </c>
      <c r="V126" s="5" t="s">
        <v>13</v>
      </c>
      <c r="W126" s="13">
        <v>46159</v>
      </c>
      <c r="X126" s="12">
        <v>1968</v>
      </c>
      <c r="Y126" s="12">
        <v>5</v>
      </c>
      <c r="Z126" s="15" t="s">
        <v>536</v>
      </c>
      <c r="AT126" s="4"/>
      <c r="AU126" s="4"/>
      <c r="AV126" s="1"/>
    </row>
    <row r="127" spans="1:48" x14ac:dyDescent="0.3">
      <c r="A127" s="14">
        <v>126</v>
      </c>
      <c r="B127" s="12">
        <v>126926</v>
      </c>
      <c r="C127" s="12" t="s">
        <v>157</v>
      </c>
      <c r="D127" s="12" t="s">
        <v>7</v>
      </c>
      <c r="E127" s="12">
        <v>26</v>
      </c>
      <c r="F127" s="12" t="s">
        <v>556</v>
      </c>
      <c r="G127" s="12" t="s">
        <v>45</v>
      </c>
      <c r="H127" s="12" t="s">
        <v>31</v>
      </c>
      <c r="I127" s="12">
        <v>27</v>
      </c>
      <c r="J127" s="12">
        <v>28</v>
      </c>
      <c r="K127" s="12">
        <v>28</v>
      </c>
      <c r="L127" s="12">
        <v>27</v>
      </c>
      <c r="M127" s="12">
        <v>27</v>
      </c>
      <c r="N127" s="12">
        <v>28</v>
      </c>
      <c r="O127" s="12">
        <v>28</v>
      </c>
      <c r="P127" s="12">
        <v>27</v>
      </c>
      <c r="Q127" s="12">
        <v>28</v>
      </c>
      <c r="R127" s="12">
        <v>28</v>
      </c>
      <c r="S127" s="12">
        <v>28</v>
      </c>
      <c r="T127" s="12">
        <v>28</v>
      </c>
      <c r="U127" s="5">
        <v>332</v>
      </c>
      <c r="V127" s="5" t="s">
        <v>15</v>
      </c>
      <c r="W127" s="13">
        <v>46218</v>
      </c>
      <c r="X127" s="12">
        <v>1992</v>
      </c>
      <c r="Y127" s="12">
        <v>4</v>
      </c>
      <c r="Z127" s="15" t="s">
        <v>536</v>
      </c>
      <c r="AT127" s="4"/>
      <c r="AU127" s="4"/>
      <c r="AV127" s="1"/>
    </row>
    <row r="128" spans="1:48" x14ac:dyDescent="0.3">
      <c r="A128" s="14">
        <v>127</v>
      </c>
      <c r="B128" s="12">
        <v>126927</v>
      </c>
      <c r="C128" s="12" t="s">
        <v>158</v>
      </c>
      <c r="D128" s="12" t="s">
        <v>6</v>
      </c>
      <c r="E128" s="12">
        <v>22</v>
      </c>
      <c r="F128" s="12" t="s">
        <v>555</v>
      </c>
      <c r="G128" s="12" t="s">
        <v>30</v>
      </c>
      <c r="H128" s="12" t="s">
        <v>31</v>
      </c>
      <c r="I128" s="12">
        <v>27</v>
      </c>
      <c r="J128" s="12">
        <v>28</v>
      </c>
      <c r="K128" s="12">
        <v>27</v>
      </c>
      <c r="L128" s="12">
        <v>27</v>
      </c>
      <c r="M128" s="12">
        <v>28</v>
      </c>
      <c r="N128" s="12">
        <v>28</v>
      </c>
      <c r="O128" s="12">
        <v>28</v>
      </c>
      <c r="P128" s="12">
        <v>28</v>
      </c>
      <c r="Q128" s="12">
        <v>28</v>
      </c>
      <c r="R128" s="12">
        <v>27</v>
      </c>
      <c r="S128" s="12">
        <v>27</v>
      </c>
      <c r="T128" s="12">
        <v>28</v>
      </c>
      <c r="U128" s="5">
        <v>331</v>
      </c>
      <c r="V128" s="5" t="s">
        <v>10</v>
      </c>
      <c r="W128" s="13">
        <v>46061</v>
      </c>
      <c r="X128" s="12">
        <v>1986</v>
      </c>
      <c r="Y128" s="12">
        <v>4</v>
      </c>
      <c r="Z128" s="15" t="s">
        <v>535</v>
      </c>
      <c r="AT128" s="4"/>
      <c r="AU128" s="4"/>
      <c r="AV128" s="1"/>
    </row>
    <row r="129" spans="1:48" x14ac:dyDescent="0.3">
      <c r="A129" s="14">
        <v>128</v>
      </c>
      <c r="B129" s="12">
        <v>126928</v>
      </c>
      <c r="C129" s="12" t="s">
        <v>159</v>
      </c>
      <c r="D129" s="12" t="s">
        <v>7</v>
      </c>
      <c r="E129" s="12">
        <v>27</v>
      </c>
      <c r="F129" s="12" t="s">
        <v>556</v>
      </c>
      <c r="G129" s="12" t="s">
        <v>35</v>
      </c>
      <c r="H129" s="12" t="s">
        <v>26</v>
      </c>
      <c r="I129" s="12">
        <v>28</v>
      </c>
      <c r="J129" s="12">
        <v>28</v>
      </c>
      <c r="K129" s="12">
        <v>27</v>
      </c>
      <c r="L129" s="12">
        <v>28</v>
      </c>
      <c r="M129" s="12">
        <v>27</v>
      </c>
      <c r="N129" s="12">
        <v>27</v>
      </c>
      <c r="O129" s="12">
        <v>28</v>
      </c>
      <c r="P129" s="12">
        <v>28</v>
      </c>
      <c r="Q129" s="12">
        <v>28</v>
      </c>
      <c r="R129" s="12">
        <v>27</v>
      </c>
      <c r="S129" s="12">
        <v>27</v>
      </c>
      <c r="T129" s="12">
        <v>28</v>
      </c>
      <c r="U129" s="5">
        <v>331</v>
      </c>
      <c r="V129" s="5" t="s">
        <v>14</v>
      </c>
      <c r="W129" s="13">
        <v>46174</v>
      </c>
      <c r="X129" s="12">
        <v>1986</v>
      </c>
      <c r="Y129" s="12">
        <v>5</v>
      </c>
      <c r="Z129" s="15" t="s">
        <v>535</v>
      </c>
      <c r="AT129" s="4"/>
      <c r="AU129" s="4"/>
      <c r="AV129" s="1"/>
    </row>
    <row r="130" spans="1:48" x14ac:dyDescent="0.3">
      <c r="A130" s="14">
        <v>129</v>
      </c>
      <c r="B130" s="12">
        <v>126929</v>
      </c>
      <c r="C130" s="12" t="s">
        <v>160</v>
      </c>
      <c r="D130" s="12" t="s">
        <v>7</v>
      </c>
      <c r="E130" s="12">
        <v>49</v>
      </c>
      <c r="F130" s="12" t="s">
        <v>558</v>
      </c>
      <c r="G130" s="12" t="s">
        <v>35</v>
      </c>
      <c r="H130" s="12" t="s">
        <v>26</v>
      </c>
      <c r="I130" s="12">
        <v>27</v>
      </c>
      <c r="J130" s="12">
        <v>27</v>
      </c>
      <c r="K130" s="12">
        <v>27</v>
      </c>
      <c r="L130" s="12">
        <v>27</v>
      </c>
      <c r="M130" s="12">
        <v>27</v>
      </c>
      <c r="N130" s="12">
        <v>27</v>
      </c>
      <c r="O130" s="12">
        <v>27</v>
      </c>
      <c r="P130" s="12">
        <v>27</v>
      </c>
      <c r="Q130" s="12">
        <v>27</v>
      </c>
      <c r="R130" s="12">
        <v>27</v>
      </c>
      <c r="S130" s="12">
        <v>28</v>
      </c>
      <c r="T130" s="12">
        <v>28</v>
      </c>
      <c r="U130" s="5">
        <v>326</v>
      </c>
      <c r="V130" s="5" t="s">
        <v>17</v>
      </c>
      <c r="W130" s="13">
        <v>46295</v>
      </c>
      <c r="X130" s="12">
        <v>1956</v>
      </c>
      <c r="Y130" s="12">
        <v>5</v>
      </c>
      <c r="Z130" s="15" t="s">
        <v>535</v>
      </c>
      <c r="AT130" s="4"/>
      <c r="AU130" s="4"/>
      <c r="AV130" s="1"/>
    </row>
    <row r="131" spans="1:48" x14ac:dyDescent="0.3">
      <c r="A131" s="14">
        <v>130</v>
      </c>
      <c r="B131" s="12">
        <v>126930</v>
      </c>
      <c r="C131" s="12" t="s">
        <v>161</v>
      </c>
      <c r="D131" s="12" t="s">
        <v>6</v>
      </c>
      <c r="E131" s="12">
        <v>46</v>
      </c>
      <c r="F131" s="12" t="s">
        <v>558</v>
      </c>
      <c r="G131" s="12" t="s">
        <v>45</v>
      </c>
      <c r="H131" s="12" t="s">
        <v>31</v>
      </c>
      <c r="I131" s="12">
        <v>28</v>
      </c>
      <c r="J131" s="12">
        <v>27</v>
      </c>
      <c r="K131" s="12">
        <v>28</v>
      </c>
      <c r="L131" s="12">
        <v>27</v>
      </c>
      <c r="M131" s="12">
        <v>28</v>
      </c>
      <c r="N131" s="12">
        <v>28</v>
      </c>
      <c r="O131" s="12">
        <v>27</v>
      </c>
      <c r="P131" s="12">
        <v>28</v>
      </c>
      <c r="Q131" s="12">
        <v>27</v>
      </c>
      <c r="R131" s="12">
        <v>27</v>
      </c>
      <c r="S131" s="12">
        <v>27</v>
      </c>
      <c r="T131" s="12">
        <v>28</v>
      </c>
      <c r="U131" s="5">
        <v>330</v>
      </c>
      <c r="V131" s="5" t="s">
        <v>14</v>
      </c>
      <c r="W131" s="13">
        <v>46200</v>
      </c>
      <c r="X131" s="12">
        <v>1980</v>
      </c>
      <c r="Y131" s="12">
        <v>4</v>
      </c>
      <c r="Z131" s="15" t="s">
        <v>535</v>
      </c>
      <c r="AT131" s="4"/>
      <c r="AU131" s="4"/>
      <c r="AV131" s="1"/>
    </row>
    <row r="132" spans="1:48" x14ac:dyDescent="0.3">
      <c r="A132" s="14">
        <v>131</v>
      </c>
      <c r="B132" s="12">
        <v>126931</v>
      </c>
      <c r="C132" s="12" t="s">
        <v>162</v>
      </c>
      <c r="D132" s="12" t="s">
        <v>6</v>
      </c>
      <c r="E132" s="12">
        <v>32</v>
      </c>
      <c r="F132" s="12" t="s">
        <v>556</v>
      </c>
      <c r="G132" s="12" t="s">
        <v>45</v>
      </c>
      <c r="H132" s="12" t="s">
        <v>26</v>
      </c>
      <c r="I132" s="12">
        <v>27</v>
      </c>
      <c r="J132" s="12">
        <v>28</v>
      </c>
      <c r="K132" s="12">
        <v>28</v>
      </c>
      <c r="L132" s="12">
        <v>27</v>
      </c>
      <c r="M132" s="12">
        <v>28</v>
      </c>
      <c r="N132" s="12">
        <v>27</v>
      </c>
      <c r="O132" s="12">
        <v>28</v>
      </c>
      <c r="P132" s="12">
        <v>28</v>
      </c>
      <c r="Q132" s="12">
        <v>27</v>
      </c>
      <c r="R132" s="12">
        <v>27</v>
      </c>
      <c r="S132" s="12">
        <v>27</v>
      </c>
      <c r="T132" s="12">
        <v>28</v>
      </c>
      <c r="U132" s="5">
        <v>330</v>
      </c>
      <c r="V132" s="5" t="s">
        <v>15</v>
      </c>
      <c r="W132" s="13">
        <v>46214</v>
      </c>
      <c r="X132" s="12">
        <v>1980</v>
      </c>
      <c r="Y132" s="12">
        <v>3</v>
      </c>
      <c r="Z132" s="15" t="s">
        <v>535</v>
      </c>
      <c r="AT132" s="4"/>
      <c r="AU132" s="4"/>
      <c r="AV132" s="1"/>
    </row>
    <row r="133" spans="1:48" x14ac:dyDescent="0.3">
      <c r="A133" s="14">
        <v>132</v>
      </c>
      <c r="B133" s="12">
        <v>126932</v>
      </c>
      <c r="C133" s="12" t="s">
        <v>163</v>
      </c>
      <c r="D133" s="12" t="s">
        <v>6</v>
      </c>
      <c r="E133" s="12">
        <v>23</v>
      </c>
      <c r="F133" s="12" t="s">
        <v>555</v>
      </c>
      <c r="G133" s="12" t="s">
        <v>35</v>
      </c>
      <c r="H133" s="12" t="s">
        <v>28</v>
      </c>
      <c r="I133" s="12">
        <v>28</v>
      </c>
      <c r="J133" s="12">
        <v>27</v>
      </c>
      <c r="K133" s="12">
        <v>28</v>
      </c>
      <c r="L133" s="12">
        <v>27</v>
      </c>
      <c r="M133" s="12">
        <v>27</v>
      </c>
      <c r="N133" s="12">
        <v>28</v>
      </c>
      <c r="O133" s="12">
        <v>28</v>
      </c>
      <c r="P133" s="12">
        <v>28</v>
      </c>
      <c r="Q133" s="12">
        <v>28</v>
      </c>
      <c r="R133" s="12">
        <v>28</v>
      </c>
      <c r="S133" s="12">
        <v>27</v>
      </c>
      <c r="T133" s="12">
        <v>28</v>
      </c>
      <c r="U133" s="5">
        <v>332</v>
      </c>
      <c r="V133" s="5" t="s">
        <v>11</v>
      </c>
      <c r="W133" s="13">
        <v>46099</v>
      </c>
      <c r="X133" s="12">
        <v>1992</v>
      </c>
      <c r="Y133" s="12">
        <v>4</v>
      </c>
      <c r="Z133" s="15" t="s">
        <v>536</v>
      </c>
      <c r="AT133" s="4"/>
      <c r="AU133" s="4"/>
      <c r="AV133" s="1"/>
    </row>
    <row r="134" spans="1:48" x14ac:dyDescent="0.3">
      <c r="A134" s="14">
        <v>133</v>
      </c>
      <c r="B134" s="12">
        <v>126933</v>
      </c>
      <c r="C134" s="12" t="s">
        <v>164</v>
      </c>
      <c r="D134" s="12" t="s">
        <v>6</v>
      </c>
      <c r="E134" s="12">
        <v>37</v>
      </c>
      <c r="F134" s="12" t="s">
        <v>557</v>
      </c>
      <c r="G134" s="12" t="s">
        <v>35</v>
      </c>
      <c r="H134" s="12" t="s">
        <v>26</v>
      </c>
      <c r="I134" s="12">
        <v>27</v>
      </c>
      <c r="J134" s="12">
        <v>28</v>
      </c>
      <c r="K134" s="12">
        <v>27</v>
      </c>
      <c r="L134" s="12">
        <v>28</v>
      </c>
      <c r="M134" s="12">
        <v>27</v>
      </c>
      <c r="N134" s="12">
        <v>28</v>
      </c>
      <c r="O134" s="12">
        <v>27</v>
      </c>
      <c r="P134" s="12">
        <v>28</v>
      </c>
      <c r="Q134" s="12">
        <v>27</v>
      </c>
      <c r="R134" s="12">
        <v>28</v>
      </c>
      <c r="S134" s="12">
        <v>27</v>
      </c>
      <c r="T134" s="12">
        <v>28</v>
      </c>
      <c r="U134" s="5">
        <v>330</v>
      </c>
      <c r="V134" s="5" t="s">
        <v>14</v>
      </c>
      <c r="W134" s="13">
        <v>46196</v>
      </c>
      <c r="X134" s="12">
        <v>1980</v>
      </c>
      <c r="Y134" s="12">
        <v>3</v>
      </c>
      <c r="Z134" s="15" t="s">
        <v>536</v>
      </c>
      <c r="AT134" s="4"/>
      <c r="AU134" s="4"/>
      <c r="AV134" s="1"/>
    </row>
    <row r="135" spans="1:48" x14ac:dyDescent="0.3">
      <c r="A135" s="14">
        <v>134</v>
      </c>
      <c r="B135" s="12">
        <v>126934</v>
      </c>
      <c r="C135" s="12" t="s">
        <v>165</v>
      </c>
      <c r="D135" s="12" t="s">
        <v>6</v>
      </c>
      <c r="E135" s="12">
        <v>43</v>
      </c>
      <c r="F135" s="12" t="s">
        <v>557</v>
      </c>
      <c r="G135" s="12" t="s">
        <v>38</v>
      </c>
      <c r="H135" s="12" t="s">
        <v>31</v>
      </c>
      <c r="I135" s="12">
        <v>27</v>
      </c>
      <c r="J135" s="12">
        <v>27</v>
      </c>
      <c r="K135" s="12">
        <v>27</v>
      </c>
      <c r="L135" s="12">
        <v>27</v>
      </c>
      <c r="M135" s="12">
        <v>27</v>
      </c>
      <c r="N135" s="12">
        <v>27</v>
      </c>
      <c r="O135" s="12">
        <v>27</v>
      </c>
      <c r="P135" s="12">
        <v>27</v>
      </c>
      <c r="Q135" s="12">
        <v>28</v>
      </c>
      <c r="R135" s="12">
        <v>28</v>
      </c>
      <c r="S135" s="12">
        <v>28</v>
      </c>
      <c r="T135" s="12">
        <v>27</v>
      </c>
      <c r="U135" s="5">
        <v>327</v>
      </c>
      <c r="V135" s="5" t="s">
        <v>9</v>
      </c>
      <c r="W135" s="13">
        <v>46028</v>
      </c>
      <c r="X135" s="12">
        <v>1962</v>
      </c>
      <c r="Y135" s="12">
        <v>5</v>
      </c>
      <c r="Z135" s="15" t="s">
        <v>535</v>
      </c>
      <c r="AT135" s="4"/>
      <c r="AU135" s="4"/>
      <c r="AV135" s="1"/>
    </row>
    <row r="136" spans="1:48" x14ac:dyDescent="0.3">
      <c r="A136" s="14">
        <v>135</v>
      </c>
      <c r="B136" s="12">
        <v>126935</v>
      </c>
      <c r="C136" s="12" t="s">
        <v>166</v>
      </c>
      <c r="D136" s="12" t="s">
        <v>6</v>
      </c>
      <c r="E136" s="12">
        <v>25</v>
      </c>
      <c r="F136" s="12" t="s">
        <v>555</v>
      </c>
      <c r="G136" s="12" t="s">
        <v>30</v>
      </c>
      <c r="H136" s="12" t="s">
        <v>31</v>
      </c>
      <c r="I136" s="12">
        <v>27</v>
      </c>
      <c r="J136" s="12">
        <v>27</v>
      </c>
      <c r="K136" s="12">
        <v>28</v>
      </c>
      <c r="L136" s="12">
        <v>28</v>
      </c>
      <c r="M136" s="12">
        <v>28</v>
      </c>
      <c r="N136" s="12">
        <v>27</v>
      </c>
      <c r="O136" s="12">
        <v>27</v>
      </c>
      <c r="P136" s="12">
        <v>28</v>
      </c>
      <c r="Q136" s="12">
        <v>28</v>
      </c>
      <c r="R136" s="12">
        <v>27</v>
      </c>
      <c r="S136" s="12">
        <v>28</v>
      </c>
      <c r="T136" s="12">
        <v>28</v>
      </c>
      <c r="U136" s="5">
        <v>331</v>
      </c>
      <c r="V136" s="5" t="s">
        <v>15</v>
      </c>
      <c r="W136" s="13">
        <v>46223</v>
      </c>
      <c r="X136" s="12">
        <v>1986</v>
      </c>
      <c r="Y136" s="12">
        <v>5</v>
      </c>
      <c r="Z136" s="15" t="s">
        <v>535</v>
      </c>
      <c r="AT136" s="4"/>
      <c r="AU136" s="4"/>
      <c r="AV136" s="1"/>
    </row>
    <row r="137" spans="1:48" x14ac:dyDescent="0.3">
      <c r="A137" s="14">
        <v>136</v>
      </c>
      <c r="B137" s="12">
        <v>126936</v>
      </c>
      <c r="C137" s="12" t="s">
        <v>167</v>
      </c>
      <c r="D137" s="12" t="s">
        <v>6</v>
      </c>
      <c r="E137" s="12">
        <v>44</v>
      </c>
      <c r="F137" s="12" t="s">
        <v>557</v>
      </c>
      <c r="G137" s="12" t="s">
        <v>25</v>
      </c>
      <c r="H137" s="12" t="s">
        <v>26</v>
      </c>
      <c r="I137" s="12">
        <v>27</v>
      </c>
      <c r="J137" s="12">
        <v>27</v>
      </c>
      <c r="K137" s="12">
        <v>27</v>
      </c>
      <c r="L137" s="12">
        <v>27</v>
      </c>
      <c r="M137" s="12">
        <v>28</v>
      </c>
      <c r="N137" s="12">
        <v>27</v>
      </c>
      <c r="O137" s="12">
        <v>28</v>
      </c>
      <c r="P137" s="12">
        <v>27</v>
      </c>
      <c r="Q137" s="12">
        <v>28</v>
      </c>
      <c r="R137" s="12">
        <v>27</v>
      </c>
      <c r="S137" s="12">
        <v>27</v>
      </c>
      <c r="T137" s="12">
        <v>28</v>
      </c>
      <c r="U137" s="5">
        <v>328</v>
      </c>
      <c r="V137" s="5" t="s">
        <v>13</v>
      </c>
      <c r="W137" s="13">
        <v>46155</v>
      </c>
      <c r="X137" s="12">
        <v>1968</v>
      </c>
      <c r="Y137" s="12">
        <v>5</v>
      </c>
      <c r="Z137" s="15" t="s">
        <v>535</v>
      </c>
      <c r="AT137" s="4"/>
      <c r="AU137" s="4"/>
      <c r="AV137" s="1"/>
    </row>
    <row r="138" spans="1:48" x14ac:dyDescent="0.3">
      <c r="A138" s="14">
        <v>137</v>
      </c>
      <c r="B138" s="12">
        <v>126937</v>
      </c>
      <c r="C138" s="12" t="s">
        <v>168</v>
      </c>
      <c r="D138" s="12" t="s">
        <v>7</v>
      </c>
      <c r="E138" s="12">
        <v>28</v>
      </c>
      <c r="F138" s="12" t="s">
        <v>556</v>
      </c>
      <c r="G138" s="12" t="s">
        <v>25</v>
      </c>
      <c r="H138" s="12" t="s">
        <v>26</v>
      </c>
      <c r="I138" s="12">
        <v>27</v>
      </c>
      <c r="J138" s="12">
        <v>28</v>
      </c>
      <c r="K138" s="12">
        <v>28</v>
      </c>
      <c r="L138" s="12">
        <v>27</v>
      </c>
      <c r="M138" s="12">
        <v>28</v>
      </c>
      <c r="N138" s="12">
        <v>28</v>
      </c>
      <c r="O138" s="12">
        <v>28</v>
      </c>
      <c r="P138" s="12">
        <v>28</v>
      </c>
      <c r="Q138" s="12">
        <v>27</v>
      </c>
      <c r="R138" s="12">
        <v>28</v>
      </c>
      <c r="S138" s="12">
        <v>28</v>
      </c>
      <c r="T138" s="12">
        <v>28</v>
      </c>
      <c r="U138" s="5">
        <v>333</v>
      </c>
      <c r="V138" s="5" t="s">
        <v>9</v>
      </c>
      <c r="W138" s="13">
        <v>46048</v>
      </c>
      <c r="X138" s="12">
        <v>1998</v>
      </c>
      <c r="Y138" s="12">
        <v>4</v>
      </c>
      <c r="Z138" s="15" t="s">
        <v>536</v>
      </c>
      <c r="AT138" s="4"/>
      <c r="AU138" s="4"/>
      <c r="AV138" s="1"/>
    </row>
    <row r="139" spans="1:48" x14ac:dyDescent="0.3">
      <c r="A139" s="14">
        <v>138</v>
      </c>
      <c r="B139" s="12">
        <v>126938</v>
      </c>
      <c r="C139" s="12" t="s">
        <v>169</v>
      </c>
      <c r="D139" s="12" t="s">
        <v>7</v>
      </c>
      <c r="E139" s="12">
        <v>18</v>
      </c>
      <c r="F139" s="12" t="s">
        <v>555</v>
      </c>
      <c r="G139" s="12" t="s">
        <v>25</v>
      </c>
      <c r="H139" s="12" t="s">
        <v>26</v>
      </c>
      <c r="I139" s="12">
        <v>28</v>
      </c>
      <c r="J139" s="12">
        <v>27</v>
      </c>
      <c r="K139" s="12">
        <v>27</v>
      </c>
      <c r="L139" s="12">
        <v>28</v>
      </c>
      <c r="M139" s="12">
        <v>28</v>
      </c>
      <c r="N139" s="12">
        <v>27</v>
      </c>
      <c r="O139" s="12">
        <v>28</v>
      </c>
      <c r="P139" s="12">
        <v>27</v>
      </c>
      <c r="Q139" s="12">
        <v>28</v>
      </c>
      <c r="R139" s="12">
        <v>27</v>
      </c>
      <c r="S139" s="12">
        <v>28</v>
      </c>
      <c r="T139" s="12">
        <v>28</v>
      </c>
      <c r="U139" s="5">
        <v>331</v>
      </c>
      <c r="V139" s="5" t="s">
        <v>16</v>
      </c>
      <c r="W139" s="13">
        <v>46235</v>
      </c>
      <c r="X139" s="12">
        <v>1986</v>
      </c>
      <c r="Y139" s="12">
        <v>3</v>
      </c>
      <c r="Z139" s="15" t="s">
        <v>536</v>
      </c>
      <c r="AT139" s="4"/>
      <c r="AU139" s="4"/>
      <c r="AV139" s="1"/>
    </row>
    <row r="140" spans="1:48" x14ac:dyDescent="0.3">
      <c r="A140" s="14">
        <v>139</v>
      </c>
      <c r="B140" s="12">
        <v>126939</v>
      </c>
      <c r="C140" s="12" t="s">
        <v>170</v>
      </c>
      <c r="D140" s="12" t="s">
        <v>6</v>
      </c>
      <c r="E140" s="12">
        <v>30</v>
      </c>
      <c r="F140" s="12" t="s">
        <v>556</v>
      </c>
      <c r="G140" s="12" t="s">
        <v>38</v>
      </c>
      <c r="H140" s="12" t="s">
        <v>28</v>
      </c>
      <c r="I140" s="12">
        <v>27</v>
      </c>
      <c r="J140" s="12">
        <v>28</v>
      </c>
      <c r="K140" s="12">
        <v>28</v>
      </c>
      <c r="L140" s="12">
        <v>28</v>
      </c>
      <c r="M140" s="12">
        <v>27</v>
      </c>
      <c r="N140" s="12">
        <v>27</v>
      </c>
      <c r="O140" s="12">
        <v>28</v>
      </c>
      <c r="P140" s="12">
        <v>27</v>
      </c>
      <c r="Q140" s="12">
        <v>27</v>
      </c>
      <c r="R140" s="12">
        <v>28</v>
      </c>
      <c r="S140" s="12">
        <v>28</v>
      </c>
      <c r="T140" s="12">
        <v>28</v>
      </c>
      <c r="U140" s="5">
        <v>331</v>
      </c>
      <c r="V140" s="5" t="s">
        <v>13</v>
      </c>
      <c r="W140" s="13">
        <v>46171</v>
      </c>
      <c r="X140" s="12">
        <v>1986</v>
      </c>
      <c r="Y140" s="12">
        <v>4</v>
      </c>
      <c r="Z140" s="15" t="s">
        <v>535</v>
      </c>
      <c r="AT140" s="4"/>
      <c r="AU140" s="4"/>
      <c r="AV140" s="1"/>
    </row>
    <row r="141" spans="1:48" x14ac:dyDescent="0.3">
      <c r="A141" s="14">
        <v>140</v>
      </c>
      <c r="B141" s="12">
        <v>126940</v>
      </c>
      <c r="C141" s="12" t="s">
        <v>171</v>
      </c>
      <c r="D141" s="12" t="s">
        <v>6</v>
      </c>
      <c r="E141" s="12">
        <v>37</v>
      </c>
      <c r="F141" s="12" t="s">
        <v>557</v>
      </c>
      <c r="G141" s="12" t="s">
        <v>25</v>
      </c>
      <c r="H141" s="12" t="s">
        <v>31</v>
      </c>
      <c r="I141" s="12">
        <v>27</v>
      </c>
      <c r="J141" s="12">
        <v>27</v>
      </c>
      <c r="K141" s="12">
        <v>28</v>
      </c>
      <c r="L141" s="12">
        <v>27</v>
      </c>
      <c r="M141" s="12">
        <v>28</v>
      </c>
      <c r="N141" s="12">
        <v>28</v>
      </c>
      <c r="O141" s="12">
        <v>28</v>
      </c>
      <c r="P141" s="12">
        <v>27</v>
      </c>
      <c r="Q141" s="12">
        <v>28</v>
      </c>
      <c r="R141" s="12">
        <v>28</v>
      </c>
      <c r="S141" s="12">
        <v>28</v>
      </c>
      <c r="T141" s="12">
        <v>27</v>
      </c>
      <c r="U141" s="5">
        <v>331</v>
      </c>
      <c r="V141" s="5" t="s">
        <v>11</v>
      </c>
      <c r="W141" s="13">
        <v>46098</v>
      </c>
      <c r="X141" s="12">
        <v>1986</v>
      </c>
      <c r="Y141" s="12">
        <v>4</v>
      </c>
      <c r="Z141" s="15" t="s">
        <v>535</v>
      </c>
      <c r="AT141" s="4"/>
      <c r="AU141" s="4"/>
      <c r="AV141" s="1"/>
    </row>
    <row r="142" spans="1:48" x14ac:dyDescent="0.3">
      <c r="A142" s="14">
        <v>141</v>
      </c>
      <c r="B142" s="12">
        <v>126941</v>
      </c>
      <c r="C142" s="12" t="s">
        <v>172</v>
      </c>
      <c r="D142" s="12" t="s">
        <v>6</v>
      </c>
      <c r="E142" s="12">
        <v>39</v>
      </c>
      <c r="F142" s="12" t="s">
        <v>557</v>
      </c>
      <c r="G142" s="12" t="s">
        <v>25</v>
      </c>
      <c r="H142" s="12" t="s">
        <v>28</v>
      </c>
      <c r="I142" s="12">
        <v>27</v>
      </c>
      <c r="J142" s="12">
        <v>27</v>
      </c>
      <c r="K142" s="12">
        <v>27</v>
      </c>
      <c r="L142" s="12">
        <v>27</v>
      </c>
      <c r="M142" s="12">
        <v>27</v>
      </c>
      <c r="N142" s="12">
        <v>27</v>
      </c>
      <c r="O142" s="12">
        <v>27</v>
      </c>
      <c r="P142" s="12">
        <v>28</v>
      </c>
      <c r="Q142" s="12">
        <v>27</v>
      </c>
      <c r="R142" s="12">
        <v>27</v>
      </c>
      <c r="S142" s="12">
        <v>28</v>
      </c>
      <c r="T142" s="12">
        <v>27</v>
      </c>
      <c r="U142" s="5">
        <v>326</v>
      </c>
      <c r="V142" s="5" t="s">
        <v>10</v>
      </c>
      <c r="W142" s="13">
        <v>46054</v>
      </c>
      <c r="X142" s="12">
        <v>1956</v>
      </c>
      <c r="Y142" s="12">
        <v>3</v>
      </c>
      <c r="Z142" s="15" t="s">
        <v>535</v>
      </c>
      <c r="AT142" s="4"/>
      <c r="AU142" s="4"/>
      <c r="AV142" s="1"/>
    </row>
    <row r="143" spans="1:48" x14ac:dyDescent="0.3">
      <c r="A143" s="14">
        <v>142</v>
      </c>
      <c r="B143" s="12">
        <v>126942</v>
      </c>
      <c r="C143" s="12" t="s">
        <v>173</v>
      </c>
      <c r="D143" s="12" t="s">
        <v>6</v>
      </c>
      <c r="E143" s="12">
        <v>50</v>
      </c>
      <c r="F143" s="12" t="s">
        <v>558</v>
      </c>
      <c r="G143" s="12" t="s">
        <v>45</v>
      </c>
      <c r="H143" s="12" t="s">
        <v>31</v>
      </c>
      <c r="I143" s="12">
        <v>28</v>
      </c>
      <c r="J143" s="12">
        <v>27</v>
      </c>
      <c r="K143" s="12">
        <v>28</v>
      </c>
      <c r="L143" s="12">
        <v>27</v>
      </c>
      <c r="M143" s="12">
        <v>27</v>
      </c>
      <c r="N143" s="12">
        <v>28</v>
      </c>
      <c r="O143" s="12">
        <v>27</v>
      </c>
      <c r="P143" s="12">
        <v>28</v>
      </c>
      <c r="Q143" s="12">
        <v>27</v>
      </c>
      <c r="R143" s="12">
        <v>27</v>
      </c>
      <c r="S143" s="12">
        <v>27</v>
      </c>
      <c r="T143" s="12">
        <v>28</v>
      </c>
      <c r="U143" s="5">
        <v>329</v>
      </c>
      <c r="V143" s="5" t="s">
        <v>16</v>
      </c>
      <c r="W143" s="13">
        <v>46236</v>
      </c>
      <c r="X143" s="12">
        <v>1974</v>
      </c>
      <c r="Y143" s="12">
        <v>3</v>
      </c>
      <c r="Z143" s="15" t="s">
        <v>536</v>
      </c>
      <c r="AT143" s="4"/>
      <c r="AU143" s="4"/>
      <c r="AV143" s="1"/>
    </row>
    <row r="144" spans="1:48" x14ac:dyDescent="0.3">
      <c r="A144" s="14">
        <v>143</v>
      </c>
      <c r="B144" s="12">
        <v>126943</v>
      </c>
      <c r="C144" s="12" t="s">
        <v>174</v>
      </c>
      <c r="D144" s="12" t="s">
        <v>6</v>
      </c>
      <c r="E144" s="12">
        <v>34</v>
      </c>
      <c r="F144" s="12" t="s">
        <v>556</v>
      </c>
      <c r="G144" s="12" t="s">
        <v>30</v>
      </c>
      <c r="H144" s="12" t="s">
        <v>28</v>
      </c>
      <c r="I144" s="12">
        <v>28</v>
      </c>
      <c r="J144" s="12">
        <v>28</v>
      </c>
      <c r="K144" s="12">
        <v>28</v>
      </c>
      <c r="L144" s="12">
        <v>28</v>
      </c>
      <c r="M144" s="12">
        <v>28</v>
      </c>
      <c r="N144" s="12">
        <v>27</v>
      </c>
      <c r="O144" s="12">
        <v>27</v>
      </c>
      <c r="P144" s="12">
        <v>28</v>
      </c>
      <c r="Q144" s="12">
        <v>27</v>
      </c>
      <c r="R144" s="12">
        <v>28</v>
      </c>
      <c r="S144" s="12">
        <v>27</v>
      </c>
      <c r="T144" s="12">
        <v>28</v>
      </c>
      <c r="U144" s="5">
        <v>332</v>
      </c>
      <c r="V144" s="5" t="s">
        <v>17</v>
      </c>
      <c r="W144" s="13">
        <v>46278</v>
      </c>
      <c r="X144" s="12">
        <v>1992</v>
      </c>
      <c r="Y144" s="12">
        <v>5</v>
      </c>
      <c r="Z144" s="15" t="s">
        <v>535</v>
      </c>
      <c r="AT144" s="4"/>
      <c r="AU144" s="4"/>
      <c r="AV144" s="1"/>
    </row>
    <row r="145" spans="1:48" x14ac:dyDescent="0.3">
      <c r="A145" s="14">
        <v>144</v>
      </c>
      <c r="B145" s="12">
        <v>126944</v>
      </c>
      <c r="C145" s="12" t="s">
        <v>175</v>
      </c>
      <c r="D145" s="12" t="s">
        <v>7</v>
      </c>
      <c r="E145" s="12">
        <v>31</v>
      </c>
      <c r="F145" s="12" t="s">
        <v>556</v>
      </c>
      <c r="G145" s="12" t="s">
        <v>30</v>
      </c>
      <c r="H145" s="12" t="s">
        <v>28</v>
      </c>
      <c r="I145" s="12">
        <v>28</v>
      </c>
      <c r="J145" s="12">
        <v>27</v>
      </c>
      <c r="K145" s="12">
        <v>28</v>
      </c>
      <c r="L145" s="12">
        <v>27</v>
      </c>
      <c r="M145" s="12">
        <v>28</v>
      </c>
      <c r="N145" s="12">
        <v>28</v>
      </c>
      <c r="O145" s="12">
        <v>27</v>
      </c>
      <c r="P145" s="12">
        <v>28</v>
      </c>
      <c r="Q145" s="12">
        <v>27</v>
      </c>
      <c r="R145" s="12">
        <v>28</v>
      </c>
      <c r="S145" s="12">
        <v>27</v>
      </c>
      <c r="T145" s="12">
        <v>27</v>
      </c>
      <c r="U145" s="5">
        <v>330</v>
      </c>
      <c r="V145" s="5" t="s">
        <v>13</v>
      </c>
      <c r="W145" s="13">
        <v>46148</v>
      </c>
      <c r="X145" s="12">
        <v>1980</v>
      </c>
      <c r="Y145" s="12">
        <v>5</v>
      </c>
      <c r="Z145" s="15" t="s">
        <v>536</v>
      </c>
      <c r="AT145" s="4"/>
      <c r="AU145" s="4"/>
      <c r="AV145" s="1"/>
    </row>
    <row r="146" spans="1:48" x14ac:dyDescent="0.3">
      <c r="A146" s="14">
        <v>145</v>
      </c>
      <c r="B146" s="12">
        <v>126945</v>
      </c>
      <c r="C146" s="12" t="s">
        <v>176</v>
      </c>
      <c r="D146" s="12" t="s">
        <v>6</v>
      </c>
      <c r="E146" s="12">
        <v>44</v>
      </c>
      <c r="F146" s="12" t="s">
        <v>557</v>
      </c>
      <c r="G146" s="12" t="s">
        <v>38</v>
      </c>
      <c r="H146" s="12" t="s">
        <v>31</v>
      </c>
      <c r="I146" s="12">
        <v>27</v>
      </c>
      <c r="J146" s="12">
        <v>27</v>
      </c>
      <c r="K146" s="12">
        <v>28</v>
      </c>
      <c r="L146" s="12">
        <v>28</v>
      </c>
      <c r="M146" s="12">
        <v>27</v>
      </c>
      <c r="N146" s="12">
        <v>28</v>
      </c>
      <c r="O146" s="12">
        <v>28</v>
      </c>
      <c r="P146" s="12">
        <v>28</v>
      </c>
      <c r="Q146" s="12">
        <v>27</v>
      </c>
      <c r="R146" s="12">
        <v>27</v>
      </c>
      <c r="S146" s="12">
        <v>27</v>
      </c>
      <c r="T146" s="12">
        <v>27</v>
      </c>
      <c r="U146" s="5">
        <v>329</v>
      </c>
      <c r="V146" s="5" t="s">
        <v>9</v>
      </c>
      <c r="W146" s="13">
        <v>46043</v>
      </c>
      <c r="X146" s="12">
        <v>1974</v>
      </c>
      <c r="Y146" s="12">
        <v>5</v>
      </c>
      <c r="Z146" s="15" t="s">
        <v>536</v>
      </c>
      <c r="AT146" s="4"/>
      <c r="AU146" s="4"/>
      <c r="AV146" s="1"/>
    </row>
    <row r="147" spans="1:48" x14ac:dyDescent="0.3">
      <c r="A147" s="14">
        <v>146</v>
      </c>
      <c r="B147" s="12">
        <v>126946</v>
      </c>
      <c r="C147" s="12" t="s">
        <v>177</v>
      </c>
      <c r="D147" s="12" t="s">
        <v>6</v>
      </c>
      <c r="E147" s="12">
        <v>46</v>
      </c>
      <c r="F147" s="12" t="s">
        <v>558</v>
      </c>
      <c r="G147" s="12" t="s">
        <v>25</v>
      </c>
      <c r="H147" s="12" t="s">
        <v>31</v>
      </c>
      <c r="I147" s="12">
        <v>27</v>
      </c>
      <c r="J147" s="12">
        <v>28</v>
      </c>
      <c r="K147" s="12">
        <v>28</v>
      </c>
      <c r="L147" s="12">
        <v>28</v>
      </c>
      <c r="M147" s="12">
        <v>28</v>
      </c>
      <c r="N147" s="12">
        <v>28</v>
      </c>
      <c r="O147" s="12">
        <v>27</v>
      </c>
      <c r="P147" s="12">
        <v>28</v>
      </c>
      <c r="Q147" s="12">
        <v>28</v>
      </c>
      <c r="R147" s="12">
        <v>28</v>
      </c>
      <c r="S147" s="12">
        <v>27</v>
      </c>
      <c r="T147" s="12">
        <v>27</v>
      </c>
      <c r="U147" s="5">
        <v>332</v>
      </c>
      <c r="V147" s="5" t="s">
        <v>10</v>
      </c>
      <c r="W147" s="13">
        <v>46059</v>
      </c>
      <c r="X147" s="12">
        <v>1992</v>
      </c>
      <c r="Y147" s="12">
        <v>5</v>
      </c>
      <c r="Z147" s="15" t="s">
        <v>535</v>
      </c>
      <c r="AT147" s="4"/>
      <c r="AU147" s="4"/>
      <c r="AV147" s="1"/>
    </row>
    <row r="148" spans="1:48" x14ac:dyDescent="0.3">
      <c r="A148" s="14">
        <v>147</v>
      </c>
      <c r="B148" s="12">
        <v>126947</v>
      </c>
      <c r="C148" s="12" t="s">
        <v>178</v>
      </c>
      <c r="D148" s="12" t="s">
        <v>6</v>
      </c>
      <c r="E148" s="12">
        <v>31</v>
      </c>
      <c r="F148" s="12" t="s">
        <v>556</v>
      </c>
      <c r="G148" s="12" t="s">
        <v>45</v>
      </c>
      <c r="H148" s="12" t="s">
        <v>31</v>
      </c>
      <c r="I148" s="12">
        <v>28</v>
      </c>
      <c r="J148" s="12">
        <v>28</v>
      </c>
      <c r="K148" s="12">
        <v>27</v>
      </c>
      <c r="L148" s="12">
        <v>28</v>
      </c>
      <c r="M148" s="12">
        <v>28</v>
      </c>
      <c r="N148" s="12">
        <v>28</v>
      </c>
      <c r="O148" s="12">
        <v>27</v>
      </c>
      <c r="P148" s="12">
        <v>28</v>
      </c>
      <c r="Q148" s="12">
        <v>28</v>
      </c>
      <c r="R148" s="12">
        <v>27</v>
      </c>
      <c r="S148" s="12">
        <v>28</v>
      </c>
      <c r="T148" s="12">
        <v>27</v>
      </c>
      <c r="U148" s="5">
        <v>332</v>
      </c>
      <c r="V148" s="5" t="s">
        <v>16</v>
      </c>
      <c r="W148" s="13">
        <v>46259</v>
      </c>
      <c r="X148" s="12">
        <v>1992</v>
      </c>
      <c r="Y148" s="12">
        <v>3</v>
      </c>
      <c r="Z148" s="15" t="s">
        <v>535</v>
      </c>
      <c r="AT148" s="4"/>
      <c r="AU148" s="4"/>
      <c r="AV148" s="1"/>
    </row>
    <row r="149" spans="1:48" x14ac:dyDescent="0.3">
      <c r="A149" s="14">
        <v>148</v>
      </c>
      <c r="B149" s="12">
        <v>126948</v>
      </c>
      <c r="C149" s="12" t="s">
        <v>179</v>
      </c>
      <c r="D149" s="12" t="s">
        <v>7</v>
      </c>
      <c r="E149" s="12">
        <v>43</v>
      </c>
      <c r="F149" s="12" t="s">
        <v>557</v>
      </c>
      <c r="G149" s="12" t="s">
        <v>25</v>
      </c>
      <c r="H149" s="12" t="s">
        <v>26</v>
      </c>
      <c r="I149" s="12">
        <v>28</v>
      </c>
      <c r="J149" s="12">
        <v>27</v>
      </c>
      <c r="K149" s="12">
        <v>28</v>
      </c>
      <c r="L149" s="12">
        <v>27</v>
      </c>
      <c r="M149" s="12">
        <v>27</v>
      </c>
      <c r="N149" s="12">
        <v>28</v>
      </c>
      <c r="O149" s="12">
        <v>28</v>
      </c>
      <c r="P149" s="12">
        <v>28</v>
      </c>
      <c r="Q149" s="12">
        <v>28</v>
      </c>
      <c r="R149" s="12">
        <v>28</v>
      </c>
      <c r="S149" s="12">
        <v>28</v>
      </c>
      <c r="T149" s="12">
        <v>27</v>
      </c>
      <c r="U149" s="5">
        <v>332</v>
      </c>
      <c r="V149" s="5" t="s">
        <v>13</v>
      </c>
      <c r="W149" s="13">
        <v>46164</v>
      </c>
      <c r="X149" s="12">
        <v>1992</v>
      </c>
      <c r="Y149" s="12">
        <v>4</v>
      </c>
      <c r="Z149" s="15" t="s">
        <v>535</v>
      </c>
      <c r="AT149" s="4"/>
      <c r="AU149" s="4"/>
      <c r="AV149" s="1"/>
    </row>
    <row r="150" spans="1:48" x14ac:dyDescent="0.3">
      <c r="A150" s="14">
        <v>149</v>
      </c>
      <c r="B150" s="12">
        <v>126949</v>
      </c>
      <c r="C150" s="12" t="s">
        <v>180</v>
      </c>
      <c r="D150" s="12" t="s">
        <v>6</v>
      </c>
      <c r="E150" s="12">
        <v>27</v>
      </c>
      <c r="F150" s="12" t="s">
        <v>556</v>
      </c>
      <c r="G150" s="12" t="s">
        <v>25</v>
      </c>
      <c r="H150" s="12" t="s">
        <v>28</v>
      </c>
      <c r="I150" s="12">
        <v>27</v>
      </c>
      <c r="J150" s="12">
        <v>27</v>
      </c>
      <c r="K150" s="12">
        <v>28</v>
      </c>
      <c r="L150" s="12">
        <v>28</v>
      </c>
      <c r="M150" s="12">
        <v>27</v>
      </c>
      <c r="N150" s="12">
        <v>27</v>
      </c>
      <c r="O150" s="12">
        <v>28</v>
      </c>
      <c r="P150" s="12">
        <v>27</v>
      </c>
      <c r="Q150" s="12">
        <v>27</v>
      </c>
      <c r="R150" s="12">
        <v>27</v>
      </c>
      <c r="S150" s="12">
        <v>27</v>
      </c>
      <c r="T150" s="12">
        <v>28</v>
      </c>
      <c r="U150" s="5">
        <v>328</v>
      </c>
      <c r="V150" s="5" t="s">
        <v>9</v>
      </c>
      <c r="W150" s="13">
        <v>46051</v>
      </c>
      <c r="X150" s="12">
        <v>1968</v>
      </c>
      <c r="Y150" s="12">
        <v>4</v>
      </c>
      <c r="Z150" s="15" t="s">
        <v>535</v>
      </c>
      <c r="AT150" s="4"/>
      <c r="AU150" s="4"/>
      <c r="AV150" s="1"/>
    </row>
    <row r="151" spans="1:48" x14ac:dyDescent="0.3">
      <c r="A151" s="14">
        <v>150</v>
      </c>
      <c r="B151" s="12">
        <v>126950</v>
      </c>
      <c r="C151" s="12" t="s">
        <v>181</v>
      </c>
      <c r="D151" s="12" t="s">
        <v>7</v>
      </c>
      <c r="E151" s="12">
        <v>19</v>
      </c>
      <c r="F151" s="12" t="s">
        <v>555</v>
      </c>
      <c r="G151" s="12" t="s">
        <v>25</v>
      </c>
      <c r="H151" s="12" t="s">
        <v>26</v>
      </c>
      <c r="I151" s="12">
        <v>28</v>
      </c>
      <c r="J151" s="12">
        <v>27</v>
      </c>
      <c r="K151" s="12">
        <v>28</v>
      </c>
      <c r="L151" s="12">
        <v>28</v>
      </c>
      <c r="M151" s="12">
        <v>28</v>
      </c>
      <c r="N151" s="12">
        <v>27</v>
      </c>
      <c r="O151" s="12">
        <v>28</v>
      </c>
      <c r="P151" s="12">
        <v>28</v>
      </c>
      <c r="Q151" s="12">
        <v>28</v>
      </c>
      <c r="R151" s="12">
        <v>27</v>
      </c>
      <c r="S151" s="12">
        <v>27</v>
      </c>
      <c r="T151" s="12">
        <v>27</v>
      </c>
      <c r="U151" s="5">
        <v>331</v>
      </c>
      <c r="V151" s="5" t="s">
        <v>11</v>
      </c>
      <c r="W151" s="13">
        <v>46108</v>
      </c>
      <c r="X151" s="12">
        <v>1986</v>
      </c>
      <c r="Y151" s="12">
        <v>4</v>
      </c>
      <c r="Z151" s="15" t="s">
        <v>536</v>
      </c>
      <c r="AT151" s="4"/>
      <c r="AU151" s="4"/>
      <c r="AV151" s="1"/>
    </row>
    <row r="152" spans="1:48" x14ac:dyDescent="0.3">
      <c r="A152" s="14">
        <v>151</v>
      </c>
      <c r="B152" s="12">
        <v>126951</v>
      </c>
      <c r="C152" s="12" t="s">
        <v>182</v>
      </c>
      <c r="D152" s="12" t="s">
        <v>7</v>
      </c>
      <c r="E152" s="12">
        <v>49</v>
      </c>
      <c r="F152" s="12" t="s">
        <v>558</v>
      </c>
      <c r="G152" s="12" t="s">
        <v>30</v>
      </c>
      <c r="H152" s="12" t="s">
        <v>31</v>
      </c>
      <c r="I152" s="12">
        <v>27</v>
      </c>
      <c r="J152" s="12">
        <v>28</v>
      </c>
      <c r="K152" s="12">
        <v>28</v>
      </c>
      <c r="L152" s="12">
        <v>28</v>
      </c>
      <c r="M152" s="12">
        <v>27</v>
      </c>
      <c r="N152" s="12">
        <v>28</v>
      </c>
      <c r="O152" s="12">
        <v>28</v>
      </c>
      <c r="P152" s="12">
        <v>28</v>
      </c>
      <c r="Q152" s="12">
        <v>27</v>
      </c>
      <c r="R152" s="12">
        <v>28</v>
      </c>
      <c r="S152" s="12">
        <v>27</v>
      </c>
      <c r="T152" s="12">
        <v>28</v>
      </c>
      <c r="U152" s="5">
        <v>332</v>
      </c>
      <c r="V152" s="5" t="s">
        <v>15</v>
      </c>
      <c r="W152" s="13">
        <v>46226</v>
      </c>
      <c r="X152" s="12">
        <v>1992</v>
      </c>
      <c r="Y152" s="12">
        <v>4</v>
      </c>
      <c r="Z152" s="15" t="s">
        <v>536</v>
      </c>
      <c r="AT152" s="4"/>
      <c r="AU152" s="4"/>
      <c r="AV152" s="1"/>
    </row>
    <row r="153" spans="1:48" x14ac:dyDescent="0.3">
      <c r="A153" s="14">
        <v>152</v>
      </c>
      <c r="B153" s="12">
        <v>126952</v>
      </c>
      <c r="C153" s="12" t="s">
        <v>183</v>
      </c>
      <c r="D153" s="12" t="s">
        <v>6</v>
      </c>
      <c r="E153" s="12">
        <v>22</v>
      </c>
      <c r="F153" s="12" t="s">
        <v>555</v>
      </c>
      <c r="G153" s="12" t="s">
        <v>38</v>
      </c>
      <c r="H153" s="12" t="s">
        <v>28</v>
      </c>
      <c r="I153" s="12">
        <v>28</v>
      </c>
      <c r="J153" s="12">
        <v>27</v>
      </c>
      <c r="K153" s="12">
        <v>27</v>
      </c>
      <c r="L153" s="12">
        <v>27</v>
      </c>
      <c r="M153" s="12">
        <v>28</v>
      </c>
      <c r="N153" s="12">
        <v>27</v>
      </c>
      <c r="O153" s="12">
        <v>28</v>
      </c>
      <c r="P153" s="12">
        <v>27</v>
      </c>
      <c r="Q153" s="12">
        <v>28</v>
      </c>
      <c r="R153" s="12">
        <v>28</v>
      </c>
      <c r="S153" s="12">
        <v>27</v>
      </c>
      <c r="T153" s="12">
        <v>28</v>
      </c>
      <c r="U153" s="5">
        <v>330</v>
      </c>
      <c r="V153" s="5" t="s">
        <v>11</v>
      </c>
      <c r="W153" s="13">
        <v>46095</v>
      </c>
      <c r="X153" s="12">
        <v>1980</v>
      </c>
      <c r="Y153" s="12">
        <v>3</v>
      </c>
      <c r="Z153" s="15" t="s">
        <v>535</v>
      </c>
      <c r="AT153" s="4"/>
      <c r="AU153" s="4"/>
      <c r="AV153" s="1"/>
    </row>
    <row r="154" spans="1:48" x14ac:dyDescent="0.3">
      <c r="A154" s="14">
        <v>153</v>
      </c>
      <c r="B154" s="12">
        <v>126953</v>
      </c>
      <c r="C154" s="12" t="s">
        <v>184</v>
      </c>
      <c r="D154" s="12" t="s">
        <v>6</v>
      </c>
      <c r="E154" s="12">
        <v>24</v>
      </c>
      <c r="F154" s="12" t="s">
        <v>555</v>
      </c>
      <c r="G154" s="12" t="s">
        <v>35</v>
      </c>
      <c r="H154" s="12" t="s">
        <v>26</v>
      </c>
      <c r="I154" s="12">
        <v>28</v>
      </c>
      <c r="J154" s="12">
        <v>27</v>
      </c>
      <c r="K154" s="12">
        <v>27</v>
      </c>
      <c r="L154" s="12">
        <v>28</v>
      </c>
      <c r="M154" s="12">
        <v>27</v>
      </c>
      <c r="N154" s="12">
        <v>27</v>
      </c>
      <c r="O154" s="12">
        <v>27</v>
      </c>
      <c r="P154" s="12">
        <v>28</v>
      </c>
      <c r="Q154" s="12">
        <v>28</v>
      </c>
      <c r="R154" s="12">
        <v>27</v>
      </c>
      <c r="S154" s="12">
        <v>28</v>
      </c>
      <c r="T154" s="12">
        <v>27</v>
      </c>
      <c r="U154" s="5">
        <v>329</v>
      </c>
      <c r="V154" s="5" t="s">
        <v>12</v>
      </c>
      <c r="W154" s="13">
        <v>46127</v>
      </c>
      <c r="X154" s="12">
        <v>1974</v>
      </c>
      <c r="Y154" s="12">
        <v>4</v>
      </c>
      <c r="Z154" s="15" t="s">
        <v>536</v>
      </c>
      <c r="AT154" s="4"/>
      <c r="AU154" s="4"/>
      <c r="AV154" s="1"/>
    </row>
    <row r="155" spans="1:48" x14ac:dyDescent="0.3">
      <c r="A155" s="14">
        <v>154</v>
      </c>
      <c r="B155" s="12">
        <v>126954</v>
      </c>
      <c r="C155" s="12" t="s">
        <v>185</v>
      </c>
      <c r="D155" s="12" t="s">
        <v>6</v>
      </c>
      <c r="E155" s="12">
        <v>49</v>
      </c>
      <c r="F155" s="12" t="s">
        <v>558</v>
      </c>
      <c r="G155" s="12" t="s">
        <v>38</v>
      </c>
      <c r="H155" s="12" t="s">
        <v>26</v>
      </c>
      <c r="I155" s="12">
        <v>28</v>
      </c>
      <c r="J155" s="12">
        <v>27</v>
      </c>
      <c r="K155" s="12">
        <v>28</v>
      </c>
      <c r="L155" s="12">
        <v>27</v>
      </c>
      <c r="M155" s="12">
        <v>28</v>
      </c>
      <c r="N155" s="12">
        <v>27</v>
      </c>
      <c r="O155" s="12">
        <v>27</v>
      </c>
      <c r="P155" s="12">
        <v>28</v>
      </c>
      <c r="Q155" s="12">
        <v>28</v>
      </c>
      <c r="R155" s="12">
        <v>28</v>
      </c>
      <c r="S155" s="12">
        <v>28</v>
      </c>
      <c r="T155" s="12">
        <v>27</v>
      </c>
      <c r="U155" s="5">
        <v>331</v>
      </c>
      <c r="V155" s="5" t="s">
        <v>15</v>
      </c>
      <c r="W155" s="13">
        <v>46229</v>
      </c>
      <c r="X155" s="12">
        <v>1986</v>
      </c>
      <c r="Y155" s="12">
        <v>5</v>
      </c>
      <c r="Z155" s="15" t="s">
        <v>536</v>
      </c>
      <c r="AT155" s="4"/>
      <c r="AU155" s="4"/>
      <c r="AV155" s="1"/>
    </row>
    <row r="156" spans="1:48" x14ac:dyDescent="0.3">
      <c r="A156" s="14">
        <v>155</v>
      </c>
      <c r="B156" s="12">
        <v>126955</v>
      </c>
      <c r="C156" s="12" t="s">
        <v>186</v>
      </c>
      <c r="D156" s="12" t="s">
        <v>6</v>
      </c>
      <c r="E156" s="12">
        <v>42</v>
      </c>
      <c r="F156" s="12" t="s">
        <v>557</v>
      </c>
      <c r="G156" s="12" t="s">
        <v>30</v>
      </c>
      <c r="H156" s="12" t="s">
        <v>31</v>
      </c>
      <c r="I156" s="12">
        <v>28</v>
      </c>
      <c r="J156" s="12">
        <v>27</v>
      </c>
      <c r="K156" s="12">
        <v>28</v>
      </c>
      <c r="L156" s="12">
        <v>27</v>
      </c>
      <c r="M156" s="12">
        <v>27</v>
      </c>
      <c r="N156" s="12">
        <v>27</v>
      </c>
      <c r="O156" s="12">
        <v>28</v>
      </c>
      <c r="P156" s="12">
        <v>28</v>
      </c>
      <c r="Q156" s="12">
        <v>28</v>
      </c>
      <c r="R156" s="12">
        <v>28</v>
      </c>
      <c r="S156" s="12">
        <v>27</v>
      </c>
      <c r="T156" s="12">
        <v>28</v>
      </c>
      <c r="U156" s="5">
        <v>331</v>
      </c>
      <c r="V156" s="5" t="s">
        <v>10</v>
      </c>
      <c r="W156" s="13">
        <v>46064</v>
      </c>
      <c r="X156" s="12">
        <v>1986</v>
      </c>
      <c r="Y156" s="12">
        <v>5</v>
      </c>
      <c r="Z156" s="15" t="s">
        <v>535</v>
      </c>
      <c r="AT156" s="4"/>
      <c r="AU156" s="4"/>
      <c r="AV156" s="1"/>
    </row>
    <row r="157" spans="1:48" x14ac:dyDescent="0.3">
      <c r="A157" s="14">
        <v>156</v>
      </c>
      <c r="B157" s="12">
        <v>126956</v>
      </c>
      <c r="C157" s="12" t="s">
        <v>187</v>
      </c>
      <c r="D157" s="12" t="s">
        <v>6</v>
      </c>
      <c r="E157" s="12">
        <v>41</v>
      </c>
      <c r="F157" s="12" t="s">
        <v>557</v>
      </c>
      <c r="G157" s="12" t="s">
        <v>25</v>
      </c>
      <c r="H157" s="12" t="s">
        <v>26</v>
      </c>
      <c r="I157" s="12">
        <v>27</v>
      </c>
      <c r="J157" s="12">
        <v>28</v>
      </c>
      <c r="K157" s="12">
        <v>27</v>
      </c>
      <c r="L157" s="12">
        <v>28</v>
      </c>
      <c r="M157" s="12">
        <v>28</v>
      </c>
      <c r="N157" s="12">
        <v>28</v>
      </c>
      <c r="O157" s="12">
        <v>27</v>
      </c>
      <c r="P157" s="12">
        <v>27</v>
      </c>
      <c r="Q157" s="12">
        <v>28</v>
      </c>
      <c r="R157" s="12">
        <v>27</v>
      </c>
      <c r="S157" s="12">
        <v>27</v>
      </c>
      <c r="T157" s="12">
        <v>28</v>
      </c>
      <c r="U157" s="5">
        <v>330</v>
      </c>
      <c r="V157" s="5" t="s">
        <v>13</v>
      </c>
      <c r="W157" s="13">
        <v>46163</v>
      </c>
      <c r="X157" s="12">
        <v>1980</v>
      </c>
      <c r="Y157" s="12">
        <v>3</v>
      </c>
      <c r="Z157" s="15" t="s">
        <v>536</v>
      </c>
      <c r="AT157" s="4"/>
      <c r="AU157" s="4"/>
      <c r="AV157" s="1"/>
    </row>
    <row r="158" spans="1:48" x14ac:dyDescent="0.3">
      <c r="A158" s="14">
        <v>157</v>
      </c>
      <c r="B158" s="12">
        <v>126957</v>
      </c>
      <c r="C158" s="12" t="s">
        <v>188</v>
      </c>
      <c r="D158" s="12" t="s">
        <v>6</v>
      </c>
      <c r="E158" s="12">
        <v>37</v>
      </c>
      <c r="F158" s="12" t="s">
        <v>557</v>
      </c>
      <c r="G158" s="12" t="s">
        <v>25</v>
      </c>
      <c r="H158" s="12" t="s">
        <v>26</v>
      </c>
      <c r="I158" s="12">
        <v>28</v>
      </c>
      <c r="J158" s="12">
        <v>27</v>
      </c>
      <c r="K158" s="12">
        <v>27</v>
      </c>
      <c r="L158" s="12">
        <v>27</v>
      </c>
      <c r="M158" s="12">
        <v>28</v>
      </c>
      <c r="N158" s="12">
        <v>27</v>
      </c>
      <c r="O158" s="12">
        <v>28</v>
      </c>
      <c r="P158" s="12">
        <v>27</v>
      </c>
      <c r="Q158" s="12">
        <v>28</v>
      </c>
      <c r="R158" s="12">
        <v>27</v>
      </c>
      <c r="S158" s="12">
        <v>28</v>
      </c>
      <c r="T158" s="12">
        <v>28</v>
      </c>
      <c r="U158" s="5">
        <v>330</v>
      </c>
      <c r="V158" s="5" t="s">
        <v>15</v>
      </c>
      <c r="W158" s="13">
        <v>46206</v>
      </c>
      <c r="X158" s="12">
        <v>1980</v>
      </c>
      <c r="Y158" s="12">
        <v>5</v>
      </c>
      <c r="Z158" s="15" t="s">
        <v>535</v>
      </c>
      <c r="AT158" s="4"/>
      <c r="AU158" s="4"/>
      <c r="AV158" s="1"/>
    </row>
    <row r="159" spans="1:48" x14ac:dyDescent="0.3">
      <c r="A159" s="14">
        <v>158</v>
      </c>
      <c r="B159" s="12">
        <v>126958</v>
      </c>
      <c r="C159" s="12" t="s">
        <v>189</v>
      </c>
      <c r="D159" s="12" t="s">
        <v>6</v>
      </c>
      <c r="E159" s="12">
        <v>42</v>
      </c>
      <c r="F159" s="12" t="s">
        <v>557</v>
      </c>
      <c r="G159" s="12" t="s">
        <v>35</v>
      </c>
      <c r="H159" s="12" t="s">
        <v>28</v>
      </c>
      <c r="I159" s="12">
        <v>28</v>
      </c>
      <c r="J159" s="12">
        <v>28</v>
      </c>
      <c r="K159" s="12">
        <v>27</v>
      </c>
      <c r="L159" s="12">
        <v>28</v>
      </c>
      <c r="M159" s="12">
        <v>28</v>
      </c>
      <c r="N159" s="12">
        <v>28</v>
      </c>
      <c r="O159" s="12">
        <v>27</v>
      </c>
      <c r="P159" s="12">
        <v>28</v>
      </c>
      <c r="Q159" s="12">
        <v>27</v>
      </c>
      <c r="R159" s="12">
        <v>27</v>
      </c>
      <c r="S159" s="12">
        <v>28</v>
      </c>
      <c r="T159" s="12">
        <v>27</v>
      </c>
      <c r="U159" s="5">
        <v>331</v>
      </c>
      <c r="V159" s="5" t="s">
        <v>17</v>
      </c>
      <c r="W159" s="13">
        <v>46270</v>
      </c>
      <c r="X159" s="12">
        <v>1986</v>
      </c>
      <c r="Y159" s="12">
        <v>3</v>
      </c>
      <c r="Z159" s="15" t="s">
        <v>535</v>
      </c>
      <c r="AT159" s="4"/>
      <c r="AU159" s="4"/>
      <c r="AV159" s="1"/>
    </row>
    <row r="160" spans="1:48" x14ac:dyDescent="0.3">
      <c r="A160" s="14">
        <v>159</v>
      </c>
      <c r="B160" s="12">
        <v>126959</v>
      </c>
      <c r="C160" s="12" t="s">
        <v>190</v>
      </c>
      <c r="D160" s="12" t="s">
        <v>7</v>
      </c>
      <c r="E160" s="12">
        <v>43</v>
      </c>
      <c r="F160" s="12" t="s">
        <v>557</v>
      </c>
      <c r="G160" s="12" t="s">
        <v>38</v>
      </c>
      <c r="H160" s="12" t="s">
        <v>26</v>
      </c>
      <c r="I160" s="12">
        <v>28</v>
      </c>
      <c r="J160" s="12">
        <v>28</v>
      </c>
      <c r="K160" s="12">
        <v>27</v>
      </c>
      <c r="L160" s="12">
        <v>28</v>
      </c>
      <c r="M160" s="12">
        <v>28</v>
      </c>
      <c r="N160" s="12">
        <v>28</v>
      </c>
      <c r="O160" s="12">
        <v>27</v>
      </c>
      <c r="P160" s="12">
        <v>27</v>
      </c>
      <c r="Q160" s="12">
        <v>27</v>
      </c>
      <c r="R160" s="12">
        <v>27</v>
      </c>
      <c r="S160" s="12">
        <v>27</v>
      </c>
      <c r="T160" s="12">
        <v>28</v>
      </c>
      <c r="U160" s="5">
        <v>330</v>
      </c>
      <c r="V160" s="5" t="s">
        <v>17</v>
      </c>
      <c r="W160" s="13">
        <v>46276</v>
      </c>
      <c r="X160" s="12">
        <v>1980</v>
      </c>
      <c r="Y160" s="12">
        <v>3</v>
      </c>
      <c r="Z160" s="15" t="s">
        <v>535</v>
      </c>
      <c r="AT160" s="4"/>
      <c r="AU160" s="4"/>
      <c r="AV160" s="1"/>
    </row>
    <row r="161" spans="1:48" x14ac:dyDescent="0.3">
      <c r="A161" s="14">
        <v>160</v>
      </c>
      <c r="B161" s="12">
        <v>126960</v>
      </c>
      <c r="C161" s="12" t="s">
        <v>191</v>
      </c>
      <c r="D161" s="12" t="s">
        <v>7</v>
      </c>
      <c r="E161" s="12">
        <v>48</v>
      </c>
      <c r="F161" s="12" t="s">
        <v>558</v>
      </c>
      <c r="G161" s="12" t="s">
        <v>35</v>
      </c>
      <c r="H161" s="12" t="s">
        <v>26</v>
      </c>
      <c r="I161" s="12">
        <v>27</v>
      </c>
      <c r="J161" s="12">
        <v>28</v>
      </c>
      <c r="K161" s="12">
        <v>28</v>
      </c>
      <c r="L161" s="12">
        <v>28</v>
      </c>
      <c r="M161" s="12">
        <v>27</v>
      </c>
      <c r="N161" s="12">
        <v>27</v>
      </c>
      <c r="O161" s="12">
        <v>28</v>
      </c>
      <c r="P161" s="12">
        <v>27</v>
      </c>
      <c r="Q161" s="12">
        <v>28</v>
      </c>
      <c r="R161" s="12">
        <v>27</v>
      </c>
      <c r="S161" s="12">
        <v>28</v>
      </c>
      <c r="T161" s="12">
        <v>27</v>
      </c>
      <c r="U161" s="5">
        <v>330</v>
      </c>
      <c r="V161" s="5" t="s">
        <v>11</v>
      </c>
      <c r="W161" s="13">
        <v>46107</v>
      </c>
      <c r="X161" s="12">
        <v>1980</v>
      </c>
      <c r="Y161" s="12">
        <v>3</v>
      </c>
      <c r="Z161" s="15" t="s">
        <v>535</v>
      </c>
      <c r="AT161" s="4"/>
      <c r="AU161" s="4"/>
      <c r="AV161" s="1"/>
    </row>
    <row r="162" spans="1:48" x14ac:dyDescent="0.3">
      <c r="A162" s="14">
        <v>161</v>
      </c>
      <c r="B162" s="12">
        <v>126961</v>
      </c>
      <c r="C162" s="12" t="s">
        <v>192</v>
      </c>
      <c r="D162" s="12" t="s">
        <v>6</v>
      </c>
      <c r="E162" s="12">
        <v>42</v>
      </c>
      <c r="F162" s="12" t="s">
        <v>557</v>
      </c>
      <c r="G162" s="12" t="s">
        <v>25</v>
      </c>
      <c r="H162" s="12" t="s">
        <v>28</v>
      </c>
      <c r="I162" s="12">
        <v>28</v>
      </c>
      <c r="J162" s="12">
        <v>27</v>
      </c>
      <c r="K162" s="12">
        <v>27</v>
      </c>
      <c r="L162" s="12">
        <v>28</v>
      </c>
      <c r="M162" s="12">
        <v>28</v>
      </c>
      <c r="N162" s="12">
        <v>27</v>
      </c>
      <c r="O162" s="12">
        <v>27</v>
      </c>
      <c r="P162" s="12">
        <v>28</v>
      </c>
      <c r="Q162" s="12">
        <v>28</v>
      </c>
      <c r="R162" s="12">
        <v>28</v>
      </c>
      <c r="S162" s="12">
        <v>27</v>
      </c>
      <c r="T162" s="12">
        <v>28</v>
      </c>
      <c r="U162" s="5">
        <v>331</v>
      </c>
      <c r="V162" s="5" t="s">
        <v>16</v>
      </c>
      <c r="W162" s="13">
        <v>46258</v>
      </c>
      <c r="X162" s="12">
        <v>1986</v>
      </c>
      <c r="Y162" s="12">
        <v>5</v>
      </c>
      <c r="Z162" s="15" t="s">
        <v>535</v>
      </c>
      <c r="AT162" s="4"/>
      <c r="AU162" s="4"/>
      <c r="AV162" s="1"/>
    </row>
    <row r="163" spans="1:48" x14ac:dyDescent="0.3">
      <c r="A163" s="14">
        <v>162</v>
      </c>
      <c r="B163" s="12">
        <v>126962</v>
      </c>
      <c r="C163" s="12" t="s">
        <v>193</v>
      </c>
      <c r="D163" s="12" t="s">
        <v>6</v>
      </c>
      <c r="E163" s="12">
        <v>43</v>
      </c>
      <c r="F163" s="12" t="s">
        <v>557</v>
      </c>
      <c r="G163" s="12" t="s">
        <v>35</v>
      </c>
      <c r="H163" s="12" t="s">
        <v>28</v>
      </c>
      <c r="I163" s="12">
        <v>28</v>
      </c>
      <c r="J163" s="12">
        <v>27</v>
      </c>
      <c r="K163" s="12">
        <v>27</v>
      </c>
      <c r="L163" s="12">
        <v>27</v>
      </c>
      <c r="M163" s="12">
        <v>28</v>
      </c>
      <c r="N163" s="12">
        <v>28</v>
      </c>
      <c r="O163" s="12">
        <v>28</v>
      </c>
      <c r="P163" s="12">
        <v>28</v>
      </c>
      <c r="Q163" s="12">
        <v>28</v>
      </c>
      <c r="R163" s="12">
        <v>27</v>
      </c>
      <c r="S163" s="12">
        <v>27</v>
      </c>
      <c r="T163" s="12">
        <v>27</v>
      </c>
      <c r="U163" s="5">
        <v>330</v>
      </c>
      <c r="V163" s="5" t="s">
        <v>14</v>
      </c>
      <c r="W163" s="13">
        <v>46183</v>
      </c>
      <c r="X163" s="12">
        <v>1980</v>
      </c>
      <c r="Y163" s="12">
        <v>3</v>
      </c>
      <c r="Z163" s="15" t="s">
        <v>536</v>
      </c>
      <c r="AT163" s="4"/>
      <c r="AU163" s="4"/>
      <c r="AV163" s="1"/>
    </row>
    <row r="164" spans="1:48" x14ac:dyDescent="0.3">
      <c r="A164" s="14">
        <v>163</v>
      </c>
      <c r="B164" s="12">
        <v>126963</v>
      </c>
      <c r="C164" s="12" t="s">
        <v>194</v>
      </c>
      <c r="D164" s="12" t="s">
        <v>6</v>
      </c>
      <c r="E164" s="12">
        <v>30</v>
      </c>
      <c r="F164" s="12" t="s">
        <v>556</v>
      </c>
      <c r="G164" s="12" t="s">
        <v>35</v>
      </c>
      <c r="H164" s="12" t="s">
        <v>31</v>
      </c>
      <c r="I164" s="12">
        <v>27</v>
      </c>
      <c r="J164" s="12">
        <v>27</v>
      </c>
      <c r="K164" s="12">
        <v>27</v>
      </c>
      <c r="L164" s="12">
        <v>28</v>
      </c>
      <c r="M164" s="12">
        <v>28</v>
      </c>
      <c r="N164" s="12">
        <v>28</v>
      </c>
      <c r="O164" s="12">
        <v>27</v>
      </c>
      <c r="P164" s="12">
        <v>28</v>
      </c>
      <c r="Q164" s="12">
        <v>28</v>
      </c>
      <c r="R164" s="12">
        <v>28</v>
      </c>
      <c r="S164" s="12">
        <v>28</v>
      </c>
      <c r="T164" s="12">
        <v>28</v>
      </c>
      <c r="U164" s="5">
        <v>332</v>
      </c>
      <c r="V164" s="5" t="s">
        <v>16</v>
      </c>
      <c r="W164" s="13">
        <v>46254</v>
      </c>
      <c r="X164" s="12">
        <v>1992</v>
      </c>
      <c r="Y164" s="12">
        <v>3</v>
      </c>
      <c r="Z164" s="15" t="s">
        <v>536</v>
      </c>
      <c r="AT164" s="4"/>
      <c r="AU164" s="4"/>
      <c r="AV164" s="1"/>
    </row>
    <row r="165" spans="1:48" x14ac:dyDescent="0.3">
      <c r="A165" s="14">
        <v>164</v>
      </c>
      <c r="B165" s="12">
        <v>126964</v>
      </c>
      <c r="C165" s="12" t="s">
        <v>195</v>
      </c>
      <c r="D165" s="12" t="s">
        <v>6</v>
      </c>
      <c r="E165" s="12">
        <v>28</v>
      </c>
      <c r="F165" s="12" t="s">
        <v>556</v>
      </c>
      <c r="G165" s="12" t="s">
        <v>45</v>
      </c>
      <c r="H165" s="12" t="s">
        <v>28</v>
      </c>
      <c r="I165" s="12">
        <v>28</v>
      </c>
      <c r="J165" s="12">
        <v>27</v>
      </c>
      <c r="K165" s="12">
        <v>28</v>
      </c>
      <c r="L165" s="12">
        <v>27</v>
      </c>
      <c r="M165" s="12">
        <v>27</v>
      </c>
      <c r="N165" s="12">
        <v>27</v>
      </c>
      <c r="O165" s="12">
        <v>27</v>
      </c>
      <c r="P165" s="12">
        <v>27</v>
      </c>
      <c r="Q165" s="12">
        <v>27</v>
      </c>
      <c r="R165" s="12">
        <v>28</v>
      </c>
      <c r="S165" s="12">
        <v>28</v>
      </c>
      <c r="T165" s="12">
        <v>28</v>
      </c>
      <c r="U165" s="5">
        <v>329</v>
      </c>
      <c r="V165" s="5" t="s">
        <v>15</v>
      </c>
      <c r="W165" s="13">
        <v>46224</v>
      </c>
      <c r="X165" s="12">
        <v>1974</v>
      </c>
      <c r="Y165" s="12">
        <v>4</v>
      </c>
      <c r="Z165" s="15" t="s">
        <v>535</v>
      </c>
      <c r="AT165" s="4"/>
      <c r="AU165" s="4"/>
      <c r="AV165" s="1"/>
    </row>
    <row r="166" spans="1:48" x14ac:dyDescent="0.3">
      <c r="A166" s="14">
        <v>165</v>
      </c>
      <c r="B166" s="12">
        <v>126965</v>
      </c>
      <c r="C166" s="12" t="s">
        <v>196</v>
      </c>
      <c r="D166" s="12" t="s">
        <v>6</v>
      </c>
      <c r="E166" s="12">
        <v>37</v>
      </c>
      <c r="F166" s="12" t="s">
        <v>557</v>
      </c>
      <c r="G166" s="12" t="s">
        <v>30</v>
      </c>
      <c r="H166" s="12" t="s">
        <v>26</v>
      </c>
      <c r="I166" s="12">
        <v>28</v>
      </c>
      <c r="J166" s="12">
        <v>28</v>
      </c>
      <c r="K166" s="12">
        <v>28</v>
      </c>
      <c r="L166" s="12">
        <v>27</v>
      </c>
      <c r="M166" s="12">
        <v>28</v>
      </c>
      <c r="N166" s="12">
        <v>27</v>
      </c>
      <c r="O166" s="12">
        <v>27</v>
      </c>
      <c r="P166" s="12">
        <v>27</v>
      </c>
      <c r="Q166" s="12">
        <v>27</v>
      </c>
      <c r="R166" s="12">
        <v>28</v>
      </c>
      <c r="S166" s="12">
        <v>28</v>
      </c>
      <c r="T166" s="12">
        <v>27</v>
      </c>
      <c r="U166" s="5">
        <v>330</v>
      </c>
      <c r="V166" s="5" t="s">
        <v>11</v>
      </c>
      <c r="W166" s="13">
        <v>46111</v>
      </c>
      <c r="X166" s="12">
        <v>1980</v>
      </c>
      <c r="Y166" s="12">
        <v>4</v>
      </c>
      <c r="Z166" s="15" t="s">
        <v>536</v>
      </c>
      <c r="AT166" s="4"/>
      <c r="AU166" s="4"/>
      <c r="AV166" s="1"/>
    </row>
    <row r="167" spans="1:48" x14ac:dyDescent="0.3">
      <c r="A167" s="14">
        <v>166</v>
      </c>
      <c r="B167" s="12">
        <v>126966</v>
      </c>
      <c r="C167" s="12" t="s">
        <v>197</v>
      </c>
      <c r="D167" s="12" t="s">
        <v>7</v>
      </c>
      <c r="E167" s="12">
        <v>34</v>
      </c>
      <c r="F167" s="12" t="s">
        <v>556</v>
      </c>
      <c r="G167" s="12" t="s">
        <v>38</v>
      </c>
      <c r="H167" s="12" t="s">
        <v>28</v>
      </c>
      <c r="I167" s="12">
        <v>27</v>
      </c>
      <c r="J167" s="12">
        <v>28</v>
      </c>
      <c r="K167" s="12">
        <v>27</v>
      </c>
      <c r="L167" s="12">
        <v>28</v>
      </c>
      <c r="M167" s="12">
        <v>27</v>
      </c>
      <c r="N167" s="12">
        <v>28</v>
      </c>
      <c r="O167" s="12">
        <v>27</v>
      </c>
      <c r="P167" s="12">
        <v>27</v>
      </c>
      <c r="Q167" s="12">
        <v>27</v>
      </c>
      <c r="R167" s="12">
        <v>27</v>
      </c>
      <c r="S167" s="12">
        <v>27</v>
      </c>
      <c r="T167" s="12">
        <v>28</v>
      </c>
      <c r="U167" s="5">
        <v>328</v>
      </c>
      <c r="V167" s="5" t="s">
        <v>15</v>
      </c>
      <c r="W167" s="13">
        <v>46216</v>
      </c>
      <c r="X167" s="12">
        <v>1968</v>
      </c>
      <c r="Y167" s="12">
        <v>4</v>
      </c>
      <c r="Z167" s="15" t="s">
        <v>536</v>
      </c>
      <c r="AT167" s="4"/>
      <c r="AU167" s="4"/>
      <c r="AV167" s="1"/>
    </row>
    <row r="168" spans="1:48" x14ac:dyDescent="0.3">
      <c r="A168" s="14">
        <v>167</v>
      </c>
      <c r="B168" s="12">
        <v>126967</v>
      </c>
      <c r="C168" s="12" t="s">
        <v>198</v>
      </c>
      <c r="D168" s="12" t="s">
        <v>6</v>
      </c>
      <c r="E168" s="12">
        <v>32</v>
      </c>
      <c r="F168" s="12" t="s">
        <v>556</v>
      </c>
      <c r="G168" s="12" t="s">
        <v>38</v>
      </c>
      <c r="H168" s="12" t="s">
        <v>26</v>
      </c>
      <c r="I168" s="12">
        <v>28</v>
      </c>
      <c r="J168" s="12">
        <v>28</v>
      </c>
      <c r="K168" s="12">
        <v>28</v>
      </c>
      <c r="L168" s="12">
        <v>27</v>
      </c>
      <c r="M168" s="12">
        <v>27</v>
      </c>
      <c r="N168" s="12">
        <v>27</v>
      </c>
      <c r="O168" s="12">
        <v>27</v>
      </c>
      <c r="P168" s="12">
        <v>27</v>
      </c>
      <c r="Q168" s="12">
        <v>28</v>
      </c>
      <c r="R168" s="12">
        <v>28</v>
      </c>
      <c r="S168" s="12">
        <v>28</v>
      </c>
      <c r="T168" s="12">
        <v>27</v>
      </c>
      <c r="U168" s="5">
        <v>330</v>
      </c>
      <c r="V168" s="5" t="s">
        <v>14</v>
      </c>
      <c r="W168" s="13">
        <v>46177</v>
      </c>
      <c r="X168" s="12">
        <v>1980</v>
      </c>
      <c r="Y168" s="12">
        <v>4</v>
      </c>
      <c r="Z168" s="15" t="s">
        <v>535</v>
      </c>
      <c r="AT168" s="4"/>
      <c r="AU168" s="4"/>
      <c r="AV168" s="1"/>
    </row>
    <row r="169" spans="1:48" x14ac:dyDescent="0.3">
      <c r="A169" s="14">
        <v>168</v>
      </c>
      <c r="B169" s="12">
        <v>126968</v>
      </c>
      <c r="C169" s="12" t="s">
        <v>199</v>
      </c>
      <c r="D169" s="12" t="s">
        <v>6</v>
      </c>
      <c r="E169" s="12">
        <v>34</v>
      </c>
      <c r="F169" s="12" t="s">
        <v>556</v>
      </c>
      <c r="G169" s="12" t="s">
        <v>38</v>
      </c>
      <c r="H169" s="12" t="s">
        <v>28</v>
      </c>
      <c r="I169" s="12">
        <v>28</v>
      </c>
      <c r="J169" s="12">
        <v>27</v>
      </c>
      <c r="K169" s="12">
        <v>28</v>
      </c>
      <c r="L169" s="12">
        <v>27</v>
      </c>
      <c r="M169" s="12">
        <v>27</v>
      </c>
      <c r="N169" s="12">
        <v>27</v>
      </c>
      <c r="O169" s="12">
        <v>28</v>
      </c>
      <c r="P169" s="12">
        <v>27</v>
      </c>
      <c r="Q169" s="12">
        <v>27</v>
      </c>
      <c r="R169" s="12">
        <v>27</v>
      </c>
      <c r="S169" s="12">
        <v>28</v>
      </c>
      <c r="T169" s="12">
        <v>27</v>
      </c>
      <c r="U169" s="5">
        <v>328</v>
      </c>
      <c r="V169" s="5" t="s">
        <v>17</v>
      </c>
      <c r="W169" s="13">
        <v>46274</v>
      </c>
      <c r="X169" s="12">
        <v>1968</v>
      </c>
      <c r="Y169" s="12">
        <v>4</v>
      </c>
      <c r="Z169" s="15" t="s">
        <v>535</v>
      </c>
      <c r="AT169" s="4"/>
      <c r="AU169" s="4"/>
      <c r="AV169" s="1"/>
    </row>
    <row r="170" spans="1:48" x14ac:dyDescent="0.3">
      <c r="A170" s="14">
        <v>169</v>
      </c>
      <c r="B170" s="12">
        <v>126969</v>
      </c>
      <c r="C170" s="12" t="s">
        <v>200</v>
      </c>
      <c r="D170" s="12" t="s">
        <v>6</v>
      </c>
      <c r="E170" s="12">
        <v>46</v>
      </c>
      <c r="F170" s="12" t="s">
        <v>558</v>
      </c>
      <c r="G170" s="12" t="s">
        <v>35</v>
      </c>
      <c r="H170" s="12" t="s">
        <v>31</v>
      </c>
      <c r="I170" s="12">
        <v>27</v>
      </c>
      <c r="J170" s="12">
        <v>27</v>
      </c>
      <c r="K170" s="12">
        <v>28</v>
      </c>
      <c r="L170" s="12">
        <v>27</v>
      </c>
      <c r="M170" s="12">
        <v>28</v>
      </c>
      <c r="N170" s="12">
        <v>27</v>
      </c>
      <c r="O170" s="12">
        <v>28</v>
      </c>
      <c r="P170" s="12">
        <v>28</v>
      </c>
      <c r="Q170" s="12">
        <v>28</v>
      </c>
      <c r="R170" s="12">
        <v>27</v>
      </c>
      <c r="S170" s="12">
        <v>28</v>
      </c>
      <c r="T170" s="12">
        <v>27</v>
      </c>
      <c r="U170" s="5">
        <v>330</v>
      </c>
      <c r="V170" s="5" t="s">
        <v>17</v>
      </c>
      <c r="W170" s="13">
        <v>46271</v>
      </c>
      <c r="X170" s="12">
        <v>1980</v>
      </c>
      <c r="Y170" s="12">
        <v>3</v>
      </c>
      <c r="Z170" s="15" t="s">
        <v>535</v>
      </c>
      <c r="AT170" s="4"/>
      <c r="AU170" s="4"/>
      <c r="AV170" s="1"/>
    </row>
    <row r="171" spans="1:48" x14ac:dyDescent="0.3">
      <c r="A171" s="14">
        <v>170</v>
      </c>
      <c r="B171" s="12">
        <v>126970</v>
      </c>
      <c r="C171" s="12" t="s">
        <v>201</v>
      </c>
      <c r="D171" s="12" t="s">
        <v>7</v>
      </c>
      <c r="E171" s="12">
        <v>48</v>
      </c>
      <c r="F171" s="12" t="s">
        <v>558</v>
      </c>
      <c r="G171" s="12" t="s">
        <v>35</v>
      </c>
      <c r="H171" s="12" t="s">
        <v>26</v>
      </c>
      <c r="I171" s="12">
        <v>28</v>
      </c>
      <c r="J171" s="12">
        <v>27</v>
      </c>
      <c r="K171" s="12">
        <v>28</v>
      </c>
      <c r="L171" s="12">
        <v>28</v>
      </c>
      <c r="M171" s="12">
        <v>28</v>
      </c>
      <c r="N171" s="12">
        <v>28</v>
      </c>
      <c r="O171" s="12">
        <v>27</v>
      </c>
      <c r="P171" s="12">
        <v>27</v>
      </c>
      <c r="Q171" s="12">
        <v>27</v>
      </c>
      <c r="R171" s="12">
        <v>28</v>
      </c>
      <c r="S171" s="12">
        <v>27</v>
      </c>
      <c r="T171" s="12">
        <v>28</v>
      </c>
      <c r="U171" s="5">
        <v>331</v>
      </c>
      <c r="V171" s="5" t="s">
        <v>15</v>
      </c>
      <c r="W171" s="13">
        <v>46218</v>
      </c>
      <c r="X171" s="12">
        <v>1986</v>
      </c>
      <c r="Y171" s="12">
        <v>5</v>
      </c>
      <c r="Z171" s="15" t="s">
        <v>535</v>
      </c>
      <c r="AT171" s="4"/>
      <c r="AU171" s="4"/>
      <c r="AV171" s="1"/>
    </row>
    <row r="172" spans="1:48" x14ac:dyDescent="0.3">
      <c r="A172" s="14">
        <v>171</v>
      </c>
      <c r="B172" s="12">
        <v>126971</v>
      </c>
      <c r="C172" s="12" t="s">
        <v>202</v>
      </c>
      <c r="D172" s="12" t="s">
        <v>6</v>
      </c>
      <c r="E172" s="12">
        <v>24</v>
      </c>
      <c r="F172" s="12" t="s">
        <v>555</v>
      </c>
      <c r="G172" s="12" t="s">
        <v>30</v>
      </c>
      <c r="H172" s="12" t="s">
        <v>26</v>
      </c>
      <c r="I172" s="12">
        <v>28</v>
      </c>
      <c r="J172" s="12">
        <v>28</v>
      </c>
      <c r="K172" s="12">
        <v>27</v>
      </c>
      <c r="L172" s="12">
        <v>28</v>
      </c>
      <c r="M172" s="12">
        <v>28</v>
      </c>
      <c r="N172" s="12">
        <v>27</v>
      </c>
      <c r="O172" s="12">
        <v>27</v>
      </c>
      <c r="P172" s="12">
        <v>28</v>
      </c>
      <c r="Q172" s="12">
        <v>27</v>
      </c>
      <c r="R172" s="12">
        <v>27</v>
      </c>
      <c r="S172" s="12">
        <v>27</v>
      </c>
      <c r="T172" s="12">
        <v>27</v>
      </c>
      <c r="U172" s="5">
        <v>329</v>
      </c>
      <c r="V172" s="5" t="s">
        <v>12</v>
      </c>
      <c r="W172" s="13">
        <v>46120</v>
      </c>
      <c r="X172" s="12">
        <v>1974</v>
      </c>
      <c r="Y172" s="12">
        <v>5</v>
      </c>
      <c r="Z172" s="15" t="s">
        <v>535</v>
      </c>
      <c r="AT172" s="4"/>
      <c r="AU172" s="4"/>
      <c r="AV172" s="1"/>
    </row>
    <row r="173" spans="1:48" x14ac:dyDescent="0.3">
      <c r="A173" s="14">
        <v>172</v>
      </c>
      <c r="B173" s="12">
        <v>126972</v>
      </c>
      <c r="C173" s="12" t="s">
        <v>203</v>
      </c>
      <c r="D173" s="12" t="s">
        <v>7</v>
      </c>
      <c r="E173" s="12">
        <v>40</v>
      </c>
      <c r="F173" s="12" t="s">
        <v>557</v>
      </c>
      <c r="G173" s="12" t="s">
        <v>25</v>
      </c>
      <c r="H173" s="12" t="s">
        <v>31</v>
      </c>
      <c r="I173" s="12">
        <v>27</v>
      </c>
      <c r="J173" s="12">
        <v>28</v>
      </c>
      <c r="K173" s="12">
        <v>28</v>
      </c>
      <c r="L173" s="12">
        <v>28</v>
      </c>
      <c r="M173" s="12">
        <v>28</v>
      </c>
      <c r="N173" s="12">
        <v>28</v>
      </c>
      <c r="O173" s="12">
        <v>28</v>
      </c>
      <c r="P173" s="12">
        <v>27</v>
      </c>
      <c r="Q173" s="12">
        <v>27</v>
      </c>
      <c r="R173" s="12">
        <v>28</v>
      </c>
      <c r="S173" s="12">
        <v>28</v>
      </c>
      <c r="T173" s="12">
        <v>27</v>
      </c>
      <c r="U173" s="5">
        <v>332</v>
      </c>
      <c r="V173" s="5" t="s">
        <v>11</v>
      </c>
      <c r="W173" s="13">
        <v>46103</v>
      </c>
      <c r="X173" s="12">
        <v>1992</v>
      </c>
      <c r="Y173" s="12">
        <v>3</v>
      </c>
      <c r="Z173" s="15" t="s">
        <v>535</v>
      </c>
      <c r="AT173" s="4"/>
      <c r="AU173" s="4"/>
      <c r="AV173" s="1"/>
    </row>
    <row r="174" spans="1:48" x14ac:dyDescent="0.3">
      <c r="A174" s="14">
        <v>173</v>
      </c>
      <c r="B174" s="12">
        <v>126973</v>
      </c>
      <c r="C174" s="12" t="s">
        <v>204</v>
      </c>
      <c r="D174" s="12" t="s">
        <v>7</v>
      </c>
      <c r="E174" s="12">
        <v>26</v>
      </c>
      <c r="F174" s="12" t="s">
        <v>556</v>
      </c>
      <c r="G174" s="12" t="s">
        <v>30</v>
      </c>
      <c r="H174" s="12" t="s">
        <v>31</v>
      </c>
      <c r="I174" s="12">
        <v>28</v>
      </c>
      <c r="J174" s="12">
        <v>27</v>
      </c>
      <c r="K174" s="12">
        <v>27</v>
      </c>
      <c r="L174" s="12">
        <v>27</v>
      </c>
      <c r="M174" s="12">
        <v>28</v>
      </c>
      <c r="N174" s="12">
        <v>27</v>
      </c>
      <c r="O174" s="12">
        <v>28</v>
      </c>
      <c r="P174" s="12">
        <v>28</v>
      </c>
      <c r="Q174" s="12">
        <v>27</v>
      </c>
      <c r="R174" s="12">
        <v>27</v>
      </c>
      <c r="S174" s="12">
        <v>28</v>
      </c>
      <c r="T174" s="12">
        <v>28</v>
      </c>
      <c r="U174" s="5">
        <v>330</v>
      </c>
      <c r="V174" s="5" t="s">
        <v>16</v>
      </c>
      <c r="W174" s="13">
        <v>46257</v>
      </c>
      <c r="X174" s="12">
        <v>1980</v>
      </c>
      <c r="Y174" s="12">
        <v>3</v>
      </c>
      <c r="Z174" s="15" t="s">
        <v>536</v>
      </c>
      <c r="AT174" s="4"/>
      <c r="AU174" s="4"/>
      <c r="AV174" s="1"/>
    </row>
    <row r="175" spans="1:48" x14ac:dyDescent="0.3">
      <c r="A175" s="14">
        <v>174</v>
      </c>
      <c r="B175" s="12">
        <v>126974</v>
      </c>
      <c r="C175" s="12" t="s">
        <v>205</v>
      </c>
      <c r="D175" s="12" t="s">
        <v>6</v>
      </c>
      <c r="E175" s="12">
        <v>29</v>
      </c>
      <c r="F175" s="12" t="s">
        <v>556</v>
      </c>
      <c r="G175" s="12" t="s">
        <v>38</v>
      </c>
      <c r="H175" s="12" t="s">
        <v>28</v>
      </c>
      <c r="I175" s="12">
        <v>28</v>
      </c>
      <c r="J175" s="12">
        <v>27</v>
      </c>
      <c r="K175" s="12">
        <v>28</v>
      </c>
      <c r="L175" s="12">
        <v>27</v>
      </c>
      <c r="M175" s="12">
        <v>27</v>
      </c>
      <c r="N175" s="12">
        <v>28</v>
      </c>
      <c r="O175" s="12">
        <v>27</v>
      </c>
      <c r="P175" s="12">
        <v>28</v>
      </c>
      <c r="Q175" s="12">
        <v>27</v>
      </c>
      <c r="R175" s="12">
        <v>27</v>
      </c>
      <c r="S175" s="12">
        <v>28</v>
      </c>
      <c r="T175" s="12">
        <v>27</v>
      </c>
      <c r="U175" s="5">
        <v>329</v>
      </c>
      <c r="V175" s="5" t="s">
        <v>13</v>
      </c>
      <c r="W175" s="13">
        <v>46146</v>
      </c>
      <c r="X175" s="12">
        <v>1974</v>
      </c>
      <c r="Y175" s="12">
        <v>3</v>
      </c>
      <c r="Z175" s="15" t="s">
        <v>535</v>
      </c>
      <c r="AT175" s="4"/>
      <c r="AU175" s="4"/>
      <c r="AV175" s="1"/>
    </row>
    <row r="176" spans="1:48" x14ac:dyDescent="0.3">
      <c r="A176" s="14">
        <v>175</v>
      </c>
      <c r="B176" s="12">
        <v>126975</v>
      </c>
      <c r="C176" s="12" t="s">
        <v>206</v>
      </c>
      <c r="D176" s="12" t="s">
        <v>6</v>
      </c>
      <c r="E176" s="12">
        <v>44</v>
      </c>
      <c r="F176" s="12" t="s">
        <v>557</v>
      </c>
      <c r="G176" s="12" t="s">
        <v>25</v>
      </c>
      <c r="H176" s="12" t="s">
        <v>31</v>
      </c>
      <c r="I176" s="12">
        <v>27</v>
      </c>
      <c r="J176" s="12">
        <v>27</v>
      </c>
      <c r="K176" s="12">
        <v>27</v>
      </c>
      <c r="L176" s="12">
        <v>27</v>
      </c>
      <c r="M176" s="12">
        <v>28</v>
      </c>
      <c r="N176" s="12">
        <v>27</v>
      </c>
      <c r="O176" s="12">
        <v>27</v>
      </c>
      <c r="P176" s="12">
        <v>28</v>
      </c>
      <c r="Q176" s="12">
        <v>27</v>
      </c>
      <c r="R176" s="12">
        <v>28</v>
      </c>
      <c r="S176" s="12">
        <v>27</v>
      </c>
      <c r="T176" s="12">
        <v>27</v>
      </c>
      <c r="U176" s="5">
        <v>327</v>
      </c>
      <c r="V176" s="5" t="s">
        <v>13</v>
      </c>
      <c r="W176" s="13">
        <v>46156</v>
      </c>
      <c r="X176" s="12">
        <v>1962</v>
      </c>
      <c r="Y176" s="12">
        <v>3</v>
      </c>
      <c r="Z176" s="15" t="s">
        <v>536</v>
      </c>
      <c r="AT176" s="4"/>
      <c r="AU176" s="4"/>
      <c r="AV176" s="1"/>
    </row>
    <row r="177" spans="1:48" x14ac:dyDescent="0.3">
      <c r="A177" s="14">
        <v>176</v>
      </c>
      <c r="B177" s="12">
        <v>126976</v>
      </c>
      <c r="C177" s="12" t="s">
        <v>207</v>
      </c>
      <c r="D177" s="12" t="s">
        <v>6</v>
      </c>
      <c r="E177" s="12">
        <v>30</v>
      </c>
      <c r="F177" s="12" t="s">
        <v>556</v>
      </c>
      <c r="G177" s="12" t="s">
        <v>30</v>
      </c>
      <c r="H177" s="12" t="s">
        <v>26</v>
      </c>
      <c r="I177" s="12">
        <v>27</v>
      </c>
      <c r="J177" s="12">
        <v>28</v>
      </c>
      <c r="K177" s="12">
        <v>27</v>
      </c>
      <c r="L177" s="12">
        <v>28</v>
      </c>
      <c r="M177" s="12">
        <v>28</v>
      </c>
      <c r="N177" s="12">
        <v>27</v>
      </c>
      <c r="O177" s="12">
        <v>27</v>
      </c>
      <c r="P177" s="12">
        <v>27</v>
      </c>
      <c r="Q177" s="12">
        <v>28</v>
      </c>
      <c r="R177" s="12">
        <v>28</v>
      </c>
      <c r="S177" s="12">
        <v>27</v>
      </c>
      <c r="T177" s="12">
        <v>28</v>
      </c>
      <c r="U177" s="5">
        <v>330</v>
      </c>
      <c r="V177" s="5" t="s">
        <v>10</v>
      </c>
      <c r="W177" s="13">
        <v>46078</v>
      </c>
      <c r="X177" s="12">
        <v>1980</v>
      </c>
      <c r="Y177" s="12">
        <v>4</v>
      </c>
      <c r="Z177" s="15" t="s">
        <v>536</v>
      </c>
      <c r="AT177" s="4"/>
      <c r="AU177" s="4"/>
      <c r="AV177" s="1"/>
    </row>
    <row r="178" spans="1:48" x14ac:dyDescent="0.3">
      <c r="A178" s="14">
        <v>177</v>
      </c>
      <c r="B178" s="12">
        <v>126977</v>
      </c>
      <c r="C178" s="12" t="s">
        <v>208</v>
      </c>
      <c r="D178" s="12" t="s">
        <v>6</v>
      </c>
      <c r="E178" s="12">
        <v>24</v>
      </c>
      <c r="F178" s="12" t="s">
        <v>555</v>
      </c>
      <c r="G178" s="12" t="s">
        <v>38</v>
      </c>
      <c r="H178" s="12" t="s">
        <v>31</v>
      </c>
      <c r="I178" s="12">
        <v>28</v>
      </c>
      <c r="J178" s="12">
        <v>27</v>
      </c>
      <c r="K178" s="12">
        <v>28</v>
      </c>
      <c r="L178" s="12">
        <v>28</v>
      </c>
      <c r="M178" s="12">
        <v>27</v>
      </c>
      <c r="N178" s="12">
        <v>28</v>
      </c>
      <c r="O178" s="12">
        <v>27</v>
      </c>
      <c r="P178" s="12">
        <v>28</v>
      </c>
      <c r="Q178" s="12">
        <v>28</v>
      </c>
      <c r="R178" s="12">
        <v>27</v>
      </c>
      <c r="S178" s="12">
        <v>27</v>
      </c>
      <c r="T178" s="12">
        <v>28</v>
      </c>
      <c r="U178" s="5">
        <v>331</v>
      </c>
      <c r="V178" s="5" t="s">
        <v>15</v>
      </c>
      <c r="W178" s="13">
        <v>46206</v>
      </c>
      <c r="X178" s="12">
        <v>1986</v>
      </c>
      <c r="Y178" s="12">
        <v>3</v>
      </c>
      <c r="Z178" s="15" t="s">
        <v>535</v>
      </c>
      <c r="AT178" s="4"/>
      <c r="AU178" s="4"/>
      <c r="AV178" s="1"/>
    </row>
    <row r="179" spans="1:48" x14ac:dyDescent="0.3">
      <c r="A179" s="14">
        <v>178</v>
      </c>
      <c r="B179" s="12">
        <v>126978</v>
      </c>
      <c r="C179" s="12" t="s">
        <v>209</v>
      </c>
      <c r="D179" s="12" t="s">
        <v>6</v>
      </c>
      <c r="E179" s="12">
        <v>47</v>
      </c>
      <c r="F179" s="12" t="s">
        <v>558</v>
      </c>
      <c r="G179" s="12" t="s">
        <v>38</v>
      </c>
      <c r="H179" s="12" t="s">
        <v>31</v>
      </c>
      <c r="I179" s="12">
        <v>28</v>
      </c>
      <c r="J179" s="12">
        <v>27</v>
      </c>
      <c r="K179" s="12">
        <v>28</v>
      </c>
      <c r="L179" s="12">
        <v>28</v>
      </c>
      <c r="M179" s="12">
        <v>27</v>
      </c>
      <c r="N179" s="12">
        <v>28</v>
      </c>
      <c r="O179" s="12">
        <v>27</v>
      </c>
      <c r="P179" s="12">
        <v>28</v>
      </c>
      <c r="Q179" s="12">
        <v>27</v>
      </c>
      <c r="R179" s="12">
        <v>27</v>
      </c>
      <c r="S179" s="12">
        <v>27</v>
      </c>
      <c r="T179" s="12">
        <v>27</v>
      </c>
      <c r="U179" s="5">
        <v>329</v>
      </c>
      <c r="V179" s="5" t="s">
        <v>17</v>
      </c>
      <c r="W179" s="13">
        <v>46273</v>
      </c>
      <c r="X179" s="12">
        <v>1974</v>
      </c>
      <c r="Y179" s="12">
        <v>3</v>
      </c>
      <c r="Z179" s="15" t="s">
        <v>536</v>
      </c>
      <c r="AT179" s="4"/>
      <c r="AU179" s="4"/>
      <c r="AV179" s="1"/>
    </row>
    <row r="180" spans="1:48" x14ac:dyDescent="0.3">
      <c r="A180" s="14">
        <v>179</v>
      </c>
      <c r="B180" s="12">
        <v>126979</v>
      </c>
      <c r="C180" s="12" t="s">
        <v>210</v>
      </c>
      <c r="D180" s="12" t="s">
        <v>6</v>
      </c>
      <c r="E180" s="12">
        <v>45</v>
      </c>
      <c r="F180" s="12" t="s">
        <v>557</v>
      </c>
      <c r="G180" s="12" t="s">
        <v>25</v>
      </c>
      <c r="H180" s="12" t="s">
        <v>31</v>
      </c>
      <c r="I180" s="12">
        <v>28</v>
      </c>
      <c r="J180" s="12">
        <v>27</v>
      </c>
      <c r="K180" s="12">
        <v>27</v>
      </c>
      <c r="L180" s="12">
        <v>28</v>
      </c>
      <c r="M180" s="12">
        <v>27</v>
      </c>
      <c r="N180" s="12">
        <v>28</v>
      </c>
      <c r="O180" s="12">
        <v>27</v>
      </c>
      <c r="P180" s="12">
        <v>28</v>
      </c>
      <c r="Q180" s="12">
        <v>28</v>
      </c>
      <c r="R180" s="12">
        <v>27</v>
      </c>
      <c r="S180" s="12">
        <v>27</v>
      </c>
      <c r="T180" s="12">
        <v>27</v>
      </c>
      <c r="U180" s="5">
        <v>329</v>
      </c>
      <c r="V180" s="5" t="s">
        <v>12</v>
      </c>
      <c r="W180" s="13">
        <v>46118</v>
      </c>
      <c r="X180" s="12">
        <v>1974</v>
      </c>
      <c r="Y180" s="12">
        <v>4</v>
      </c>
      <c r="Z180" s="15" t="s">
        <v>535</v>
      </c>
      <c r="AT180" s="4"/>
      <c r="AU180" s="4"/>
      <c r="AV180" s="1"/>
    </row>
    <row r="181" spans="1:48" x14ac:dyDescent="0.3">
      <c r="A181" s="14">
        <v>180</v>
      </c>
      <c r="B181" s="12">
        <v>126980</v>
      </c>
      <c r="C181" s="12" t="s">
        <v>211</v>
      </c>
      <c r="D181" s="12" t="s">
        <v>6</v>
      </c>
      <c r="E181" s="12">
        <v>19</v>
      </c>
      <c r="F181" s="12" t="s">
        <v>555</v>
      </c>
      <c r="G181" s="12" t="s">
        <v>35</v>
      </c>
      <c r="H181" s="12" t="s">
        <v>26</v>
      </c>
      <c r="I181" s="12">
        <v>28</v>
      </c>
      <c r="J181" s="12">
        <v>28</v>
      </c>
      <c r="K181" s="12">
        <v>28</v>
      </c>
      <c r="L181" s="12">
        <v>27</v>
      </c>
      <c r="M181" s="12">
        <v>27</v>
      </c>
      <c r="N181" s="12">
        <v>27</v>
      </c>
      <c r="O181" s="12">
        <v>27</v>
      </c>
      <c r="P181" s="12">
        <v>28</v>
      </c>
      <c r="Q181" s="12">
        <v>28</v>
      </c>
      <c r="R181" s="12">
        <v>28</v>
      </c>
      <c r="S181" s="12">
        <v>27</v>
      </c>
      <c r="T181" s="12">
        <v>28</v>
      </c>
      <c r="U181" s="5">
        <v>331</v>
      </c>
      <c r="V181" s="5" t="s">
        <v>17</v>
      </c>
      <c r="W181" s="13">
        <v>46285</v>
      </c>
      <c r="X181" s="12">
        <v>1986</v>
      </c>
      <c r="Y181" s="12">
        <v>5</v>
      </c>
      <c r="Z181" s="15" t="s">
        <v>536</v>
      </c>
      <c r="AT181" s="4"/>
      <c r="AU181" s="4"/>
      <c r="AV181" s="1"/>
    </row>
    <row r="182" spans="1:48" x14ac:dyDescent="0.3">
      <c r="A182" s="14">
        <v>181</v>
      </c>
      <c r="B182" s="12">
        <v>126981</v>
      </c>
      <c r="C182" s="12" t="s">
        <v>212</v>
      </c>
      <c r="D182" s="12" t="s">
        <v>7</v>
      </c>
      <c r="E182" s="12">
        <v>20</v>
      </c>
      <c r="F182" s="12" t="s">
        <v>555</v>
      </c>
      <c r="G182" s="12" t="s">
        <v>38</v>
      </c>
      <c r="H182" s="12" t="s">
        <v>28</v>
      </c>
      <c r="I182" s="12">
        <v>27</v>
      </c>
      <c r="J182" s="12">
        <v>27</v>
      </c>
      <c r="K182" s="12">
        <v>28</v>
      </c>
      <c r="L182" s="12">
        <v>27</v>
      </c>
      <c r="M182" s="12">
        <v>27</v>
      </c>
      <c r="N182" s="12">
        <v>27</v>
      </c>
      <c r="O182" s="12">
        <v>27</v>
      </c>
      <c r="P182" s="12">
        <v>27</v>
      </c>
      <c r="Q182" s="12">
        <v>28</v>
      </c>
      <c r="R182" s="12">
        <v>28</v>
      </c>
      <c r="S182" s="12">
        <v>28</v>
      </c>
      <c r="T182" s="12">
        <v>28</v>
      </c>
      <c r="U182" s="5">
        <v>329</v>
      </c>
      <c r="V182" s="5" t="s">
        <v>12</v>
      </c>
      <c r="W182" s="13">
        <v>46133</v>
      </c>
      <c r="X182" s="12">
        <v>1974</v>
      </c>
      <c r="Y182" s="12">
        <v>4</v>
      </c>
      <c r="Z182" s="15" t="s">
        <v>536</v>
      </c>
      <c r="AT182" s="4"/>
      <c r="AU182" s="4"/>
      <c r="AV182" s="1"/>
    </row>
    <row r="183" spans="1:48" x14ac:dyDescent="0.3">
      <c r="A183" s="14">
        <v>182</v>
      </c>
      <c r="B183" s="12">
        <v>126982</v>
      </c>
      <c r="C183" s="12" t="s">
        <v>213</v>
      </c>
      <c r="D183" s="12" t="s">
        <v>7</v>
      </c>
      <c r="E183" s="12">
        <v>45</v>
      </c>
      <c r="F183" s="12" t="s">
        <v>557</v>
      </c>
      <c r="G183" s="12" t="s">
        <v>38</v>
      </c>
      <c r="H183" s="12" t="s">
        <v>31</v>
      </c>
      <c r="I183" s="12">
        <v>27</v>
      </c>
      <c r="J183" s="12">
        <v>27</v>
      </c>
      <c r="K183" s="12">
        <v>28</v>
      </c>
      <c r="L183" s="12">
        <v>27</v>
      </c>
      <c r="M183" s="12">
        <v>28</v>
      </c>
      <c r="N183" s="12">
        <v>27</v>
      </c>
      <c r="O183" s="12">
        <v>28</v>
      </c>
      <c r="P183" s="12">
        <v>28</v>
      </c>
      <c r="Q183" s="12">
        <v>28</v>
      </c>
      <c r="R183" s="12">
        <v>27</v>
      </c>
      <c r="S183" s="12">
        <v>28</v>
      </c>
      <c r="T183" s="12">
        <v>28</v>
      </c>
      <c r="U183" s="5">
        <v>331</v>
      </c>
      <c r="V183" s="5" t="s">
        <v>15</v>
      </c>
      <c r="W183" s="13">
        <v>46229</v>
      </c>
      <c r="X183" s="12">
        <v>1986</v>
      </c>
      <c r="Y183" s="12">
        <v>5</v>
      </c>
      <c r="Z183" s="15" t="s">
        <v>535</v>
      </c>
      <c r="AT183" s="4"/>
      <c r="AU183" s="4"/>
      <c r="AV183" s="1"/>
    </row>
    <row r="184" spans="1:48" x14ac:dyDescent="0.3">
      <c r="A184" s="14">
        <v>183</v>
      </c>
      <c r="B184" s="12">
        <v>126983</v>
      </c>
      <c r="C184" s="12" t="s">
        <v>214</v>
      </c>
      <c r="D184" s="12" t="s">
        <v>6</v>
      </c>
      <c r="E184" s="12">
        <v>22</v>
      </c>
      <c r="F184" s="12" t="s">
        <v>555</v>
      </c>
      <c r="G184" s="12" t="s">
        <v>30</v>
      </c>
      <c r="H184" s="12" t="s">
        <v>28</v>
      </c>
      <c r="I184" s="12">
        <v>28</v>
      </c>
      <c r="J184" s="12">
        <v>28</v>
      </c>
      <c r="K184" s="12">
        <v>28</v>
      </c>
      <c r="L184" s="12">
        <v>27</v>
      </c>
      <c r="M184" s="12">
        <v>28</v>
      </c>
      <c r="N184" s="12">
        <v>28</v>
      </c>
      <c r="O184" s="12">
        <v>28</v>
      </c>
      <c r="P184" s="12">
        <v>28</v>
      </c>
      <c r="Q184" s="12">
        <v>28</v>
      </c>
      <c r="R184" s="12">
        <v>27</v>
      </c>
      <c r="S184" s="12">
        <v>28</v>
      </c>
      <c r="T184" s="12">
        <v>27</v>
      </c>
      <c r="U184" s="5">
        <v>333</v>
      </c>
      <c r="V184" s="5" t="s">
        <v>10</v>
      </c>
      <c r="W184" s="13">
        <v>46073</v>
      </c>
      <c r="X184" s="12">
        <v>1998</v>
      </c>
      <c r="Y184" s="12">
        <v>4</v>
      </c>
      <c r="Z184" s="15" t="s">
        <v>536</v>
      </c>
      <c r="AT184" s="4"/>
      <c r="AU184" s="4"/>
      <c r="AV184" s="1"/>
    </row>
    <row r="185" spans="1:48" x14ac:dyDescent="0.3">
      <c r="A185" s="14">
        <v>184</v>
      </c>
      <c r="B185" s="12">
        <v>126984</v>
      </c>
      <c r="C185" s="12" t="s">
        <v>215</v>
      </c>
      <c r="D185" s="12" t="s">
        <v>6</v>
      </c>
      <c r="E185" s="12">
        <v>29</v>
      </c>
      <c r="F185" s="12" t="s">
        <v>556</v>
      </c>
      <c r="G185" s="12" t="s">
        <v>38</v>
      </c>
      <c r="H185" s="12" t="s">
        <v>28</v>
      </c>
      <c r="I185" s="12">
        <v>27</v>
      </c>
      <c r="J185" s="12">
        <v>27</v>
      </c>
      <c r="K185" s="12">
        <v>27</v>
      </c>
      <c r="L185" s="12">
        <v>28</v>
      </c>
      <c r="M185" s="12">
        <v>28</v>
      </c>
      <c r="N185" s="12">
        <v>28</v>
      </c>
      <c r="O185" s="12">
        <v>28</v>
      </c>
      <c r="P185" s="12">
        <v>28</v>
      </c>
      <c r="Q185" s="12">
        <v>28</v>
      </c>
      <c r="R185" s="12">
        <v>28</v>
      </c>
      <c r="S185" s="12">
        <v>27</v>
      </c>
      <c r="T185" s="12">
        <v>28</v>
      </c>
      <c r="U185" s="5">
        <v>332</v>
      </c>
      <c r="V185" s="5" t="s">
        <v>14</v>
      </c>
      <c r="W185" s="13">
        <v>46195</v>
      </c>
      <c r="X185" s="12">
        <v>1992</v>
      </c>
      <c r="Y185" s="12">
        <v>3</v>
      </c>
      <c r="Z185" s="15" t="s">
        <v>536</v>
      </c>
      <c r="AT185" s="4"/>
      <c r="AU185" s="4"/>
      <c r="AV185" s="1"/>
    </row>
    <row r="186" spans="1:48" x14ac:dyDescent="0.3">
      <c r="A186" s="14">
        <v>185</v>
      </c>
      <c r="B186" s="12">
        <v>126985</v>
      </c>
      <c r="C186" s="12" t="s">
        <v>216</v>
      </c>
      <c r="D186" s="12" t="s">
        <v>6</v>
      </c>
      <c r="E186" s="12">
        <v>36</v>
      </c>
      <c r="F186" s="12" t="s">
        <v>557</v>
      </c>
      <c r="G186" s="12" t="s">
        <v>25</v>
      </c>
      <c r="H186" s="12" t="s">
        <v>26</v>
      </c>
      <c r="I186" s="12">
        <v>27</v>
      </c>
      <c r="J186" s="12">
        <v>27</v>
      </c>
      <c r="K186" s="12">
        <v>27</v>
      </c>
      <c r="L186" s="12">
        <v>27</v>
      </c>
      <c r="M186" s="12">
        <v>27</v>
      </c>
      <c r="N186" s="12">
        <v>28</v>
      </c>
      <c r="O186" s="12">
        <v>28</v>
      </c>
      <c r="P186" s="12">
        <v>28</v>
      </c>
      <c r="Q186" s="12">
        <v>28</v>
      </c>
      <c r="R186" s="12">
        <v>28</v>
      </c>
      <c r="S186" s="12">
        <v>27</v>
      </c>
      <c r="T186" s="12">
        <v>27</v>
      </c>
      <c r="U186" s="5">
        <v>329</v>
      </c>
      <c r="V186" s="5" t="s">
        <v>17</v>
      </c>
      <c r="W186" s="13">
        <v>46286</v>
      </c>
      <c r="X186" s="12">
        <v>1974</v>
      </c>
      <c r="Y186" s="12">
        <v>4</v>
      </c>
      <c r="Z186" s="15" t="s">
        <v>535</v>
      </c>
      <c r="AT186" s="4"/>
      <c r="AU186" s="4"/>
      <c r="AV186" s="1"/>
    </row>
    <row r="187" spans="1:48" x14ac:dyDescent="0.3">
      <c r="A187" s="14">
        <v>186</v>
      </c>
      <c r="B187" s="12">
        <v>126986</v>
      </c>
      <c r="C187" s="12" t="s">
        <v>217</v>
      </c>
      <c r="D187" s="12" t="s">
        <v>6</v>
      </c>
      <c r="E187" s="12">
        <v>24</v>
      </c>
      <c r="F187" s="12" t="s">
        <v>555</v>
      </c>
      <c r="G187" s="12" t="s">
        <v>35</v>
      </c>
      <c r="H187" s="12" t="s">
        <v>26</v>
      </c>
      <c r="I187" s="12">
        <v>28</v>
      </c>
      <c r="J187" s="12">
        <v>28</v>
      </c>
      <c r="K187" s="12">
        <v>27</v>
      </c>
      <c r="L187" s="12">
        <v>28</v>
      </c>
      <c r="M187" s="12">
        <v>27</v>
      </c>
      <c r="N187" s="12">
        <v>27</v>
      </c>
      <c r="O187" s="12">
        <v>27</v>
      </c>
      <c r="P187" s="12">
        <v>27</v>
      </c>
      <c r="Q187" s="12">
        <v>28</v>
      </c>
      <c r="R187" s="12">
        <v>27</v>
      </c>
      <c r="S187" s="12">
        <v>27</v>
      </c>
      <c r="T187" s="12">
        <v>28</v>
      </c>
      <c r="U187" s="5">
        <v>329</v>
      </c>
      <c r="V187" s="5" t="s">
        <v>13</v>
      </c>
      <c r="W187" s="13">
        <v>46164</v>
      </c>
      <c r="X187" s="12">
        <v>1974</v>
      </c>
      <c r="Y187" s="12">
        <v>3</v>
      </c>
      <c r="Z187" s="15" t="s">
        <v>535</v>
      </c>
      <c r="AT187" s="4"/>
      <c r="AU187" s="4"/>
      <c r="AV187" s="1"/>
    </row>
    <row r="188" spans="1:48" x14ac:dyDescent="0.3">
      <c r="A188" s="14">
        <v>187</v>
      </c>
      <c r="B188" s="12">
        <v>126987</v>
      </c>
      <c r="C188" s="12" t="s">
        <v>218</v>
      </c>
      <c r="D188" s="12" t="s">
        <v>6</v>
      </c>
      <c r="E188" s="12">
        <v>36</v>
      </c>
      <c r="F188" s="12" t="s">
        <v>557</v>
      </c>
      <c r="G188" s="12" t="s">
        <v>30</v>
      </c>
      <c r="H188" s="12" t="s">
        <v>26</v>
      </c>
      <c r="I188" s="12">
        <v>27</v>
      </c>
      <c r="J188" s="12">
        <v>28</v>
      </c>
      <c r="K188" s="12">
        <v>27</v>
      </c>
      <c r="L188" s="12">
        <v>27</v>
      </c>
      <c r="M188" s="12">
        <v>28</v>
      </c>
      <c r="N188" s="12">
        <v>28</v>
      </c>
      <c r="O188" s="12">
        <v>27</v>
      </c>
      <c r="P188" s="12">
        <v>28</v>
      </c>
      <c r="Q188" s="12">
        <v>28</v>
      </c>
      <c r="R188" s="12">
        <v>27</v>
      </c>
      <c r="S188" s="12">
        <v>28</v>
      </c>
      <c r="T188" s="12">
        <v>27</v>
      </c>
      <c r="U188" s="5">
        <v>330</v>
      </c>
      <c r="V188" s="5" t="s">
        <v>17</v>
      </c>
      <c r="W188" s="13">
        <v>46270</v>
      </c>
      <c r="X188" s="12">
        <v>1980</v>
      </c>
      <c r="Y188" s="12">
        <v>5</v>
      </c>
      <c r="Z188" s="15" t="s">
        <v>535</v>
      </c>
      <c r="AT188" s="4"/>
      <c r="AU188" s="4"/>
      <c r="AV188" s="1"/>
    </row>
    <row r="189" spans="1:48" x14ac:dyDescent="0.3">
      <c r="A189" s="14">
        <v>188</v>
      </c>
      <c r="B189" s="12">
        <v>126988</v>
      </c>
      <c r="C189" s="12" t="s">
        <v>219</v>
      </c>
      <c r="D189" s="12" t="s">
        <v>7</v>
      </c>
      <c r="E189" s="12">
        <v>42</v>
      </c>
      <c r="F189" s="12" t="s">
        <v>557</v>
      </c>
      <c r="G189" s="12" t="s">
        <v>30</v>
      </c>
      <c r="H189" s="12" t="s">
        <v>26</v>
      </c>
      <c r="I189" s="12">
        <v>27</v>
      </c>
      <c r="J189" s="12">
        <v>27</v>
      </c>
      <c r="K189" s="12">
        <v>27</v>
      </c>
      <c r="L189" s="12">
        <v>28</v>
      </c>
      <c r="M189" s="12">
        <v>28</v>
      </c>
      <c r="N189" s="12">
        <v>27</v>
      </c>
      <c r="O189" s="12">
        <v>28</v>
      </c>
      <c r="P189" s="12">
        <v>27</v>
      </c>
      <c r="Q189" s="12">
        <v>27</v>
      </c>
      <c r="R189" s="12">
        <v>28</v>
      </c>
      <c r="S189" s="12">
        <v>27</v>
      </c>
      <c r="T189" s="12">
        <v>28</v>
      </c>
      <c r="U189" s="5">
        <v>329</v>
      </c>
      <c r="V189" s="5" t="s">
        <v>16</v>
      </c>
      <c r="W189" s="13">
        <v>46262</v>
      </c>
      <c r="X189" s="12">
        <v>1974</v>
      </c>
      <c r="Y189" s="12">
        <v>3</v>
      </c>
      <c r="Z189" s="15" t="s">
        <v>536</v>
      </c>
      <c r="AT189" s="4"/>
      <c r="AU189" s="4"/>
      <c r="AV189" s="1"/>
    </row>
    <row r="190" spans="1:48" x14ac:dyDescent="0.3">
      <c r="A190" s="14">
        <v>189</v>
      </c>
      <c r="B190" s="12">
        <v>126989</v>
      </c>
      <c r="C190" s="12" t="s">
        <v>220</v>
      </c>
      <c r="D190" s="12" t="s">
        <v>6</v>
      </c>
      <c r="E190" s="12">
        <v>37</v>
      </c>
      <c r="F190" s="12" t="s">
        <v>557</v>
      </c>
      <c r="G190" s="12" t="s">
        <v>45</v>
      </c>
      <c r="H190" s="12" t="s">
        <v>31</v>
      </c>
      <c r="I190" s="12">
        <v>27</v>
      </c>
      <c r="J190" s="12">
        <v>27</v>
      </c>
      <c r="K190" s="12">
        <v>27</v>
      </c>
      <c r="L190" s="12">
        <v>27</v>
      </c>
      <c r="M190" s="12">
        <v>28</v>
      </c>
      <c r="N190" s="12">
        <v>28</v>
      </c>
      <c r="O190" s="12">
        <v>28</v>
      </c>
      <c r="P190" s="12">
        <v>27</v>
      </c>
      <c r="Q190" s="12">
        <v>27</v>
      </c>
      <c r="R190" s="12">
        <v>28</v>
      </c>
      <c r="S190" s="12">
        <v>27</v>
      </c>
      <c r="T190" s="12">
        <v>27</v>
      </c>
      <c r="U190" s="5">
        <v>328</v>
      </c>
      <c r="V190" s="5" t="s">
        <v>11</v>
      </c>
      <c r="W190" s="13">
        <v>46101</v>
      </c>
      <c r="X190" s="12">
        <v>1968</v>
      </c>
      <c r="Y190" s="12">
        <v>3</v>
      </c>
      <c r="Z190" s="15" t="s">
        <v>536</v>
      </c>
      <c r="AT190" s="4"/>
      <c r="AU190" s="4"/>
      <c r="AV190" s="1"/>
    </row>
    <row r="191" spans="1:48" x14ac:dyDescent="0.3">
      <c r="A191" s="14">
        <v>190</v>
      </c>
      <c r="B191" s="12">
        <v>126990</v>
      </c>
      <c r="C191" s="12" t="s">
        <v>221</v>
      </c>
      <c r="D191" s="12" t="s">
        <v>6</v>
      </c>
      <c r="E191" s="12">
        <v>30</v>
      </c>
      <c r="F191" s="12" t="s">
        <v>556</v>
      </c>
      <c r="G191" s="12" t="s">
        <v>38</v>
      </c>
      <c r="H191" s="12" t="s">
        <v>26</v>
      </c>
      <c r="I191" s="12">
        <v>27</v>
      </c>
      <c r="J191" s="12">
        <v>27</v>
      </c>
      <c r="K191" s="12">
        <v>27</v>
      </c>
      <c r="L191" s="12">
        <v>27</v>
      </c>
      <c r="M191" s="12">
        <v>28</v>
      </c>
      <c r="N191" s="12">
        <v>28</v>
      </c>
      <c r="O191" s="12">
        <v>27</v>
      </c>
      <c r="P191" s="12">
        <v>28</v>
      </c>
      <c r="Q191" s="12">
        <v>28</v>
      </c>
      <c r="R191" s="12">
        <v>27</v>
      </c>
      <c r="S191" s="12">
        <v>27</v>
      </c>
      <c r="T191" s="12">
        <v>28</v>
      </c>
      <c r="U191" s="5">
        <v>329</v>
      </c>
      <c r="V191" s="5" t="s">
        <v>11</v>
      </c>
      <c r="W191" s="13">
        <v>46101</v>
      </c>
      <c r="X191" s="12">
        <v>1974</v>
      </c>
      <c r="Y191" s="12">
        <v>5</v>
      </c>
      <c r="Z191" s="15" t="s">
        <v>535</v>
      </c>
      <c r="AT191" s="4"/>
      <c r="AU191" s="4"/>
      <c r="AV191" s="1"/>
    </row>
    <row r="192" spans="1:48" x14ac:dyDescent="0.3">
      <c r="A192" s="14">
        <v>191</v>
      </c>
      <c r="B192" s="12">
        <v>126991</v>
      </c>
      <c r="C192" s="12" t="s">
        <v>222</v>
      </c>
      <c r="D192" s="12" t="s">
        <v>6</v>
      </c>
      <c r="E192" s="12">
        <v>48</v>
      </c>
      <c r="F192" s="12" t="s">
        <v>558</v>
      </c>
      <c r="G192" s="12" t="s">
        <v>30</v>
      </c>
      <c r="H192" s="12" t="s">
        <v>26</v>
      </c>
      <c r="I192" s="12">
        <v>27</v>
      </c>
      <c r="J192" s="12">
        <v>27</v>
      </c>
      <c r="K192" s="12">
        <v>27</v>
      </c>
      <c r="L192" s="12">
        <v>27</v>
      </c>
      <c r="M192" s="12">
        <v>27</v>
      </c>
      <c r="N192" s="12">
        <v>27</v>
      </c>
      <c r="O192" s="12">
        <v>28</v>
      </c>
      <c r="P192" s="12">
        <v>28</v>
      </c>
      <c r="Q192" s="12">
        <v>27</v>
      </c>
      <c r="R192" s="12">
        <v>27</v>
      </c>
      <c r="S192" s="12">
        <v>28</v>
      </c>
      <c r="T192" s="12">
        <v>28</v>
      </c>
      <c r="U192" s="5">
        <v>328</v>
      </c>
      <c r="V192" s="5" t="s">
        <v>12</v>
      </c>
      <c r="W192" s="13">
        <v>46135</v>
      </c>
      <c r="X192" s="12">
        <v>1968</v>
      </c>
      <c r="Y192" s="12">
        <v>4</v>
      </c>
      <c r="Z192" s="15" t="s">
        <v>535</v>
      </c>
      <c r="AT192" s="4"/>
      <c r="AU192" s="4"/>
      <c r="AV192" s="1"/>
    </row>
    <row r="193" spans="1:48" x14ac:dyDescent="0.3">
      <c r="A193" s="14">
        <v>192</v>
      </c>
      <c r="B193" s="12">
        <v>126992</v>
      </c>
      <c r="C193" s="12" t="s">
        <v>223</v>
      </c>
      <c r="D193" s="12" t="s">
        <v>7</v>
      </c>
      <c r="E193" s="12">
        <v>27</v>
      </c>
      <c r="F193" s="12" t="s">
        <v>556</v>
      </c>
      <c r="G193" s="12" t="s">
        <v>35</v>
      </c>
      <c r="H193" s="12" t="s">
        <v>28</v>
      </c>
      <c r="I193" s="12">
        <v>27</v>
      </c>
      <c r="J193" s="12">
        <v>27</v>
      </c>
      <c r="K193" s="12">
        <v>28</v>
      </c>
      <c r="L193" s="12">
        <v>27</v>
      </c>
      <c r="M193" s="12">
        <v>27</v>
      </c>
      <c r="N193" s="12">
        <v>27</v>
      </c>
      <c r="O193" s="12">
        <v>28</v>
      </c>
      <c r="P193" s="12">
        <v>28</v>
      </c>
      <c r="Q193" s="12">
        <v>27</v>
      </c>
      <c r="R193" s="12">
        <v>27</v>
      </c>
      <c r="S193" s="12">
        <v>27</v>
      </c>
      <c r="T193" s="12">
        <v>28</v>
      </c>
      <c r="U193" s="5">
        <v>328</v>
      </c>
      <c r="V193" s="5" t="s">
        <v>10</v>
      </c>
      <c r="W193" s="13">
        <v>46064</v>
      </c>
      <c r="X193" s="12">
        <v>1968</v>
      </c>
      <c r="Y193" s="12">
        <v>3</v>
      </c>
      <c r="Z193" s="15" t="s">
        <v>536</v>
      </c>
      <c r="AT193" s="4"/>
      <c r="AU193" s="4"/>
      <c r="AV193" s="1"/>
    </row>
    <row r="194" spans="1:48" x14ac:dyDescent="0.3">
      <c r="A194" s="14">
        <v>193</v>
      </c>
      <c r="B194" s="12">
        <v>126993</v>
      </c>
      <c r="C194" s="12" t="s">
        <v>224</v>
      </c>
      <c r="D194" s="12" t="s">
        <v>6</v>
      </c>
      <c r="E194" s="12">
        <v>38</v>
      </c>
      <c r="F194" s="12" t="s">
        <v>557</v>
      </c>
      <c r="G194" s="12" t="s">
        <v>35</v>
      </c>
      <c r="H194" s="12" t="s">
        <v>26</v>
      </c>
      <c r="I194" s="12">
        <v>28</v>
      </c>
      <c r="J194" s="12">
        <v>28</v>
      </c>
      <c r="K194" s="12">
        <v>27</v>
      </c>
      <c r="L194" s="12">
        <v>27</v>
      </c>
      <c r="M194" s="12">
        <v>27</v>
      </c>
      <c r="N194" s="12">
        <v>27</v>
      </c>
      <c r="O194" s="12">
        <v>28</v>
      </c>
      <c r="P194" s="12">
        <v>27</v>
      </c>
      <c r="Q194" s="12">
        <v>27</v>
      </c>
      <c r="R194" s="12">
        <v>27</v>
      </c>
      <c r="S194" s="12">
        <v>27</v>
      </c>
      <c r="T194" s="12">
        <v>27</v>
      </c>
      <c r="U194" s="5">
        <v>327</v>
      </c>
      <c r="V194" s="5" t="s">
        <v>11</v>
      </c>
      <c r="W194" s="13">
        <v>46084</v>
      </c>
      <c r="X194" s="12">
        <v>1962</v>
      </c>
      <c r="Y194" s="12">
        <v>3</v>
      </c>
      <c r="Z194" s="15" t="s">
        <v>536</v>
      </c>
      <c r="AT194" s="4"/>
      <c r="AU194" s="4"/>
      <c r="AV194" s="1"/>
    </row>
    <row r="195" spans="1:48" x14ac:dyDescent="0.3">
      <c r="A195" s="14">
        <v>194</v>
      </c>
      <c r="B195" s="12">
        <v>126994</v>
      </c>
      <c r="C195" s="12" t="s">
        <v>225</v>
      </c>
      <c r="D195" s="12" t="s">
        <v>7</v>
      </c>
      <c r="E195" s="12">
        <v>35</v>
      </c>
      <c r="F195" s="12" t="s">
        <v>556</v>
      </c>
      <c r="G195" s="12" t="s">
        <v>38</v>
      </c>
      <c r="H195" s="12" t="s">
        <v>31</v>
      </c>
      <c r="I195" s="12">
        <v>27</v>
      </c>
      <c r="J195" s="12">
        <v>28</v>
      </c>
      <c r="K195" s="12">
        <v>28</v>
      </c>
      <c r="L195" s="12">
        <v>28</v>
      </c>
      <c r="M195" s="12">
        <v>28</v>
      </c>
      <c r="N195" s="12">
        <v>27</v>
      </c>
      <c r="O195" s="12">
        <v>28</v>
      </c>
      <c r="P195" s="12">
        <v>28</v>
      </c>
      <c r="Q195" s="12">
        <v>28</v>
      </c>
      <c r="R195" s="12">
        <v>28</v>
      </c>
      <c r="S195" s="12">
        <v>27</v>
      </c>
      <c r="T195" s="12">
        <v>28</v>
      </c>
      <c r="U195" s="5">
        <v>333</v>
      </c>
      <c r="V195" s="5" t="s">
        <v>9</v>
      </c>
      <c r="W195" s="13">
        <v>46041</v>
      </c>
      <c r="X195" s="12">
        <v>1998</v>
      </c>
      <c r="Y195" s="12">
        <v>3</v>
      </c>
      <c r="Z195" s="15" t="s">
        <v>535</v>
      </c>
      <c r="AT195" s="4"/>
      <c r="AU195" s="4"/>
      <c r="AV195" s="1"/>
    </row>
    <row r="196" spans="1:48" x14ac:dyDescent="0.3">
      <c r="A196" s="14">
        <v>195</v>
      </c>
      <c r="B196" s="12">
        <v>126995</v>
      </c>
      <c r="C196" s="12" t="s">
        <v>226</v>
      </c>
      <c r="D196" s="12" t="s">
        <v>7</v>
      </c>
      <c r="E196" s="12">
        <v>31</v>
      </c>
      <c r="F196" s="12" t="s">
        <v>556</v>
      </c>
      <c r="G196" s="12" t="s">
        <v>25</v>
      </c>
      <c r="H196" s="12" t="s">
        <v>28</v>
      </c>
      <c r="I196" s="12">
        <v>28</v>
      </c>
      <c r="J196" s="12">
        <v>27</v>
      </c>
      <c r="K196" s="12">
        <v>27</v>
      </c>
      <c r="L196" s="12">
        <v>27</v>
      </c>
      <c r="M196" s="12">
        <v>28</v>
      </c>
      <c r="N196" s="12">
        <v>28</v>
      </c>
      <c r="O196" s="12">
        <v>27</v>
      </c>
      <c r="P196" s="12">
        <v>27</v>
      </c>
      <c r="Q196" s="12">
        <v>27</v>
      </c>
      <c r="R196" s="12">
        <v>27</v>
      </c>
      <c r="S196" s="12">
        <v>27</v>
      </c>
      <c r="T196" s="12">
        <v>28</v>
      </c>
      <c r="U196" s="5">
        <v>328</v>
      </c>
      <c r="V196" s="5" t="s">
        <v>14</v>
      </c>
      <c r="W196" s="13">
        <v>46189</v>
      </c>
      <c r="X196" s="12">
        <v>1968</v>
      </c>
      <c r="Y196" s="12">
        <v>5</v>
      </c>
      <c r="Z196" s="15" t="s">
        <v>536</v>
      </c>
      <c r="AT196" s="4"/>
      <c r="AU196" s="4"/>
      <c r="AV196" s="1"/>
    </row>
    <row r="197" spans="1:48" x14ac:dyDescent="0.3">
      <c r="A197" s="14">
        <v>196</v>
      </c>
      <c r="B197" s="12">
        <v>126996</v>
      </c>
      <c r="C197" s="12" t="s">
        <v>227</v>
      </c>
      <c r="D197" s="12" t="s">
        <v>6</v>
      </c>
      <c r="E197" s="12">
        <v>49</v>
      </c>
      <c r="F197" s="12" t="s">
        <v>558</v>
      </c>
      <c r="G197" s="12" t="s">
        <v>35</v>
      </c>
      <c r="H197" s="12" t="s">
        <v>26</v>
      </c>
      <c r="I197" s="12">
        <v>28</v>
      </c>
      <c r="J197" s="12">
        <v>27</v>
      </c>
      <c r="K197" s="12">
        <v>28</v>
      </c>
      <c r="L197" s="12">
        <v>28</v>
      </c>
      <c r="M197" s="12">
        <v>27</v>
      </c>
      <c r="N197" s="12">
        <v>28</v>
      </c>
      <c r="O197" s="12">
        <v>28</v>
      </c>
      <c r="P197" s="12">
        <v>27</v>
      </c>
      <c r="Q197" s="12">
        <v>27</v>
      </c>
      <c r="R197" s="12">
        <v>28</v>
      </c>
      <c r="S197" s="12">
        <v>27</v>
      </c>
      <c r="T197" s="12">
        <v>27</v>
      </c>
      <c r="U197" s="5">
        <v>330</v>
      </c>
      <c r="V197" s="5" t="s">
        <v>12</v>
      </c>
      <c r="W197" s="13">
        <v>46125</v>
      </c>
      <c r="X197" s="12">
        <v>1980</v>
      </c>
      <c r="Y197" s="12">
        <v>5</v>
      </c>
      <c r="Z197" s="15" t="s">
        <v>535</v>
      </c>
      <c r="AT197" s="4"/>
      <c r="AU197" s="4"/>
      <c r="AV197" s="1"/>
    </row>
    <row r="198" spans="1:48" x14ac:dyDescent="0.3">
      <c r="A198" s="14">
        <v>197</v>
      </c>
      <c r="B198" s="12">
        <v>126997</v>
      </c>
      <c r="C198" s="12" t="s">
        <v>228</v>
      </c>
      <c r="D198" s="12" t="s">
        <v>6</v>
      </c>
      <c r="E198" s="12">
        <v>33</v>
      </c>
      <c r="F198" s="12" t="s">
        <v>556</v>
      </c>
      <c r="G198" s="12" t="s">
        <v>35</v>
      </c>
      <c r="H198" s="12" t="s">
        <v>26</v>
      </c>
      <c r="I198" s="12">
        <v>28</v>
      </c>
      <c r="J198" s="12">
        <v>28</v>
      </c>
      <c r="K198" s="12">
        <v>27</v>
      </c>
      <c r="L198" s="12">
        <v>27</v>
      </c>
      <c r="M198" s="12">
        <v>28</v>
      </c>
      <c r="N198" s="12">
        <v>28</v>
      </c>
      <c r="O198" s="12">
        <v>28</v>
      </c>
      <c r="P198" s="12">
        <v>28</v>
      </c>
      <c r="Q198" s="12">
        <v>27</v>
      </c>
      <c r="R198" s="12">
        <v>28</v>
      </c>
      <c r="S198" s="12">
        <v>27</v>
      </c>
      <c r="T198" s="12">
        <v>27</v>
      </c>
      <c r="U198" s="5">
        <v>331</v>
      </c>
      <c r="V198" s="5" t="s">
        <v>12</v>
      </c>
      <c r="W198" s="13">
        <v>46114</v>
      </c>
      <c r="X198" s="12">
        <v>1986</v>
      </c>
      <c r="Y198" s="12">
        <v>5</v>
      </c>
      <c r="Z198" s="15" t="s">
        <v>536</v>
      </c>
      <c r="AT198" s="4"/>
      <c r="AU198" s="4"/>
      <c r="AV198" s="1"/>
    </row>
    <row r="199" spans="1:48" x14ac:dyDescent="0.3">
      <c r="A199" s="14">
        <v>198</v>
      </c>
      <c r="B199" s="12">
        <v>126998</v>
      </c>
      <c r="C199" s="12" t="s">
        <v>229</v>
      </c>
      <c r="D199" s="12" t="s">
        <v>6</v>
      </c>
      <c r="E199" s="12">
        <v>50</v>
      </c>
      <c r="F199" s="12" t="s">
        <v>558</v>
      </c>
      <c r="G199" s="12" t="s">
        <v>35</v>
      </c>
      <c r="H199" s="12" t="s">
        <v>26</v>
      </c>
      <c r="I199" s="12">
        <v>27</v>
      </c>
      <c r="J199" s="12">
        <v>27</v>
      </c>
      <c r="K199" s="12">
        <v>27</v>
      </c>
      <c r="L199" s="12">
        <v>28</v>
      </c>
      <c r="M199" s="12">
        <v>28</v>
      </c>
      <c r="N199" s="12">
        <v>28</v>
      </c>
      <c r="O199" s="12">
        <v>28</v>
      </c>
      <c r="P199" s="12">
        <v>27</v>
      </c>
      <c r="Q199" s="12">
        <v>27</v>
      </c>
      <c r="R199" s="12">
        <v>28</v>
      </c>
      <c r="S199" s="12">
        <v>27</v>
      </c>
      <c r="T199" s="12">
        <v>28</v>
      </c>
      <c r="U199" s="5">
        <v>330</v>
      </c>
      <c r="V199" s="5" t="s">
        <v>15</v>
      </c>
      <c r="W199" s="13">
        <v>46219</v>
      </c>
      <c r="X199" s="12">
        <v>1980</v>
      </c>
      <c r="Y199" s="12">
        <v>4</v>
      </c>
      <c r="Z199" s="15" t="s">
        <v>536</v>
      </c>
      <c r="AT199" s="4"/>
      <c r="AU199" s="4"/>
      <c r="AV199" s="1"/>
    </row>
    <row r="200" spans="1:48" x14ac:dyDescent="0.3">
      <c r="A200" s="14">
        <v>199</v>
      </c>
      <c r="B200" s="12">
        <v>126999</v>
      </c>
      <c r="C200" s="12" t="s">
        <v>230</v>
      </c>
      <c r="D200" s="12" t="s">
        <v>6</v>
      </c>
      <c r="E200" s="12">
        <v>46</v>
      </c>
      <c r="F200" s="12" t="s">
        <v>558</v>
      </c>
      <c r="G200" s="12" t="s">
        <v>25</v>
      </c>
      <c r="H200" s="12" t="s">
        <v>28</v>
      </c>
      <c r="I200" s="12">
        <v>28</v>
      </c>
      <c r="J200" s="12">
        <v>28</v>
      </c>
      <c r="K200" s="12">
        <v>28</v>
      </c>
      <c r="L200" s="12">
        <v>28</v>
      </c>
      <c r="M200" s="12">
        <v>27</v>
      </c>
      <c r="N200" s="12">
        <v>27</v>
      </c>
      <c r="O200" s="12">
        <v>27</v>
      </c>
      <c r="P200" s="12">
        <v>27</v>
      </c>
      <c r="Q200" s="12">
        <v>28</v>
      </c>
      <c r="R200" s="12">
        <v>28</v>
      </c>
      <c r="S200" s="12">
        <v>28</v>
      </c>
      <c r="T200" s="12">
        <v>27</v>
      </c>
      <c r="U200" s="5">
        <v>331</v>
      </c>
      <c r="V200" s="5" t="s">
        <v>16</v>
      </c>
      <c r="W200" s="13">
        <v>46246</v>
      </c>
      <c r="X200" s="12">
        <v>1986</v>
      </c>
      <c r="Y200" s="12">
        <v>3</v>
      </c>
      <c r="Z200" s="15" t="s">
        <v>536</v>
      </c>
      <c r="AT200" s="4"/>
      <c r="AU200" s="4"/>
      <c r="AV200" s="1"/>
    </row>
    <row r="201" spans="1:48" x14ac:dyDescent="0.3">
      <c r="A201" s="14">
        <v>200</v>
      </c>
      <c r="B201" s="12">
        <v>127000</v>
      </c>
      <c r="C201" s="12" t="s">
        <v>231</v>
      </c>
      <c r="D201" s="12" t="s">
        <v>6</v>
      </c>
      <c r="E201" s="12">
        <v>49</v>
      </c>
      <c r="F201" s="12" t="s">
        <v>558</v>
      </c>
      <c r="G201" s="12" t="s">
        <v>30</v>
      </c>
      <c r="H201" s="12" t="s">
        <v>31</v>
      </c>
      <c r="I201" s="12">
        <v>28</v>
      </c>
      <c r="J201" s="12">
        <v>27</v>
      </c>
      <c r="K201" s="12">
        <v>28</v>
      </c>
      <c r="L201" s="12">
        <v>27</v>
      </c>
      <c r="M201" s="12">
        <v>28</v>
      </c>
      <c r="N201" s="12">
        <v>28</v>
      </c>
      <c r="O201" s="12">
        <v>28</v>
      </c>
      <c r="P201" s="12">
        <v>28</v>
      </c>
      <c r="Q201" s="12">
        <v>28</v>
      </c>
      <c r="R201" s="12">
        <v>28</v>
      </c>
      <c r="S201" s="12">
        <v>27</v>
      </c>
      <c r="T201" s="12">
        <v>27</v>
      </c>
      <c r="U201" s="5">
        <v>332</v>
      </c>
      <c r="V201" s="5" t="s">
        <v>14</v>
      </c>
      <c r="W201" s="13">
        <v>46188</v>
      </c>
      <c r="X201" s="12">
        <v>1992</v>
      </c>
      <c r="Y201" s="12">
        <v>3</v>
      </c>
      <c r="Z201" s="15" t="s">
        <v>536</v>
      </c>
      <c r="AT201" s="4"/>
      <c r="AU201" s="4"/>
      <c r="AV201" s="1"/>
    </row>
    <row r="202" spans="1:48" x14ac:dyDescent="0.3">
      <c r="A202" s="14">
        <v>201</v>
      </c>
      <c r="B202" s="12">
        <v>127001</v>
      </c>
      <c r="C202" s="12" t="s">
        <v>232</v>
      </c>
      <c r="D202" s="12" t="s">
        <v>6</v>
      </c>
      <c r="E202" s="12">
        <v>36</v>
      </c>
      <c r="F202" s="12" t="s">
        <v>557</v>
      </c>
      <c r="G202" s="12" t="s">
        <v>35</v>
      </c>
      <c r="H202" s="12" t="s">
        <v>26</v>
      </c>
      <c r="I202" s="12">
        <v>27</v>
      </c>
      <c r="J202" s="12">
        <v>28</v>
      </c>
      <c r="K202" s="12">
        <v>28</v>
      </c>
      <c r="L202" s="12">
        <v>27</v>
      </c>
      <c r="M202" s="12">
        <v>27</v>
      </c>
      <c r="N202" s="12">
        <v>28</v>
      </c>
      <c r="O202" s="12">
        <v>27</v>
      </c>
      <c r="P202" s="12">
        <v>27</v>
      </c>
      <c r="Q202" s="12">
        <v>28</v>
      </c>
      <c r="R202" s="12">
        <v>27</v>
      </c>
      <c r="S202" s="12">
        <v>27</v>
      </c>
      <c r="T202" s="12">
        <v>28</v>
      </c>
      <c r="U202" s="5">
        <v>329</v>
      </c>
      <c r="V202" s="5" t="s">
        <v>16</v>
      </c>
      <c r="W202" s="13">
        <v>46262</v>
      </c>
      <c r="X202" s="12">
        <v>1974</v>
      </c>
      <c r="Y202" s="12">
        <v>4</v>
      </c>
      <c r="Z202" s="15" t="s">
        <v>536</v>
      </c>
      <c r="AT202" s="4"/>
      <c r="AU202" s="4"/>
      <c r="AV202" s="1"/>
    </row>
    <row r="203" spans="1:48" x14ac:dyDescent="0.3">
      <c r="A203" s="14">
        <v>202</v>
      </c>
      <c r="B203" s="12">
        <v>127002</v>
      </c>
      <c r="C203" s="12" t="s">
        <v>233</v>
      </c>
      <c r="D203" s="12" t="s">
        <v>6</v>
      </c>
      <c r="E203" s="12">
        <v>48</v>
      </c>
      <c r="F203" s="12" t="s">
        <v>558</v>
      </c>
      <c r="G203" s="12" t="s">
        <v>35</v>
      </c>
      <c r="H203" s="12" t="s">
        <v>31</v>
      </c>
      <c r="I203" s="12">
        <v>27</v>
      </c>
      <c r="J203" s="12">
        <v>27</v>
      </c>
      <c r="K203" s="12">
        <v>27</v>
      </c>
      <c r="L203" s="12">
        <v>27</v>
      </c>
      <c r="M203" s="12">
        <v>27</v>
      </c>
      <c r="N203" s="12">
        <v>27</v>
      </c>
      <c r="O203" s="12">
        <v>28</v>
      </c>
      <c r="P203" s="12">
        <v>27</v>
      </c>
      <c r="Q203" s="12">
        <v>27</v>
      </c>
      <c r="R203" s="12">
        <v>28</v>
      </c>
      <c r="S203" s="12">
        <v>28</v>
      </c>
      <c r="T203" s="12">
        <v>28</v>
      </c>
      <c r="U203" s="5">
        <v>328</v>
      </c>
      <c r="V203" s="5" t="s">
        <v>11</v>
      </c>
      <c r="W203" s="13">
        <v>46107</v>
      </c>
      <c r="X203" s="12">
        <v>1968</v>
      </c>
      <c r="Y203" s="12">
        <v>5</v>
      </c>
      <c r="Z203" s="15" t="s">
        <v>535</v>
      </c>
      <c r="AT203" s="4"/>
      <c r="AU203" s="4"/>
      <c r="AV203" s="1"/>
    </row>
    <row r="204" spans="1:48" x14ac:dyDescent="0.3">
      <c r="A204" s="14">
        <v>203</v>
      </c>
      <c r="B204" s="12">
        <v>127003</v>
      </c>
      <c r="C204" s="12" t="s">
        <v>234</v>
      </c>
      <c r="D204" s="12" t="s">
        <v>6</v>
      </c>
      <c r="E204" s="12">
        <v>25</v>
      </c>
      <c r="F204" s="12" t="s">
        <v>555</v>
      </c>
      <c r="G204" s="12" t="s">
        <v>35</v>
      </c>
      <c r="H204" s="12" t="s">
        <v>26</v>
      </c>
      <c r="I204" s="12">
        <v>27</v>
      </c>
      <c r="J204" s="12">
        <v>27</v>
      </c>
      <c r="K204" s="12">
        <v>28</v>
      </c>
      <c r="L204" s="12">
        <v>28</v>
      </c>
      <c r="M204" s="12">
        <v>28</v>
      </c>
      <c r="N204" s="12">
        <v>28</v>
      </c>
      <c r="O204" s="12">
        <v>27</v>
      </c>
      <c r="P204" s="12">
        <v>27</v>
      </c>
      <c r="Q204" s="12">
        <v>28</v>
      </c>
      <c r="R204" s="12">
        <v>28</v>
      </c>
      <c r="S204" s="12">
        <v>27</v>
      </c>
      <c r="T204" s="12">
        <v>28</v>
      </c>
      <c r="U204" s="5">
        <v>331</v>
      </c>
      <c r="V204" s="5" t="s">
        <v>12</v>
      </c>
      <c r="W204" s="13">
        <v>46126</v>
      </c>
      <c r="X204" s="12">
        <v>1986</v>
      </c>
      <c r="Y204" s="12">
        <v>4</v>
      </c>
      <c r="Z204" s="15" t="s">
        <v>535</v>
      </c>
      <c r="AT204" s="4"/>
      <c r="AU204" s="4"/>
      <c r="AV204" s="1"/>
    </row>
    <row r="205" spans="1:48" x14ac:dyDescent="0.3">
      <c r="A205" s="14">
        <v>204</v>
      </c>
      <c r="B205" s="12">
        <v>127004</v>
      </c>
      <c r="C205" s="12" t="s">
        <v>235</v>
      </c>
      <c r="D205" s="12" t="s">
        <v>7</v>
      </c>
      <c r="E205" s="12">
        <v>40</v>
      </c>
      <c r="F205" s="12" t="s">
        <v>557</v>
      </c>
      <c r="G205" s="12" t="s">
        <v>45</v>
      </c>
      <c r="H205" s="12" t="s">
        <v>31</v>
      </c>
      <c r="I205" s="12">
        <v>28</v>
      </c>
      <c r="J205" s="12">
        <v>27</v>
      </c>
      <c r="K205" s="12">
        <v>28</v>
      </c>
      <c r="L205" s="12">
        <v>27</v>
      </c>
      <c r="M205" s="12">
        <v>28</v>
      </c>
      <c r="N205" s="12">
        <v>28</v>
      </c>
      <c r="O205" s="12">
        <v>27</v>
      </c>
      <c r="P205" s="12">
        <v>27</v>
      </c>
      <c r="Q205" s="12">
        <v>27</v>
      </c>
      <c r="R205" s="12">
        <v>28</v>
      </c>
      <c r="S205" s="12">
        <v>28</v>
      </c>
      <c r="T205" s="12">
        <v>27</v>
      </c>
      <c r="U205" s="5">
        <v>330</v>
      </c>
      <c r="V205" s="5" t="s">
        <v>10</v>
      </c>
      <c r="W205" s="13">
        <v>46063</v>
      </c>
      <c r="X205" s="12">
        <v>1980</v>
      </c>
      <c r="Y205" s="12">
        <v>3</v>
      </c>
      <c r="Z205" s="15" t="s">
        <v>536</v>
      </c>
      <c r="AT205" s="4"/>
      <c r="AU205" s="4"/>
      <c r="AV205" s="1"/>
    </row>
    <row r="206" spans="1:48" x14ac:dyDescent="0.3">
      <c r="A206" s="14">
        <v>205</v>
      </c>
      <c r="B206" s="12">
        <v>127005</v>
      </c>
      <c r="C206" s="12" t="s">
        <v>236</v>
      </c>
      <c r="D206" s="12" t="s">
        <v>6</v>
      </c>
      <c r="E206" s="12">
        <v>47</v>
      </c>
      <c r="F206" s="12" t="s">
        <v>558</v>
      </c>
      <c r="G206" s="12" t="s">
        <v>30</v>
      </c>
      <c r="H206" s="12" t="s">
        <v>31</v>
      </c>
      <c r="I206" s="12">
        <v>28</v>
      </c>
      <c r="J206" s="12">
        <v>27</v>
      </c>
      <c r="K206" s="12">
        <v>27</v>
      </c>
      <c r="L206" s="12">
        <v>27</v>
      </c>
      <c r="M206" s="12">
        <v>28</v>
      </c>
      <c r="N206" s="12">
        <v>27</v>
      </c>
      <c r="O206" s="12">
        <v>27</v>
      </c>
      <c r="P206" s="12">
        <v>28</v>
      </c>
      <c r="Q206" s="12">
        <v>27</v>
      </c>
      <c r="R206" s="12">
        <v>27</v>
      </c>
      <c r="S206" s="12">
        <v>28</v>
      </c>
      <c r="T206" s="12">
        <v>27</v>
      </c>
      <c r="U206" s="5">
        <v>328</v>
      </c>
      <c r="V206" s="5" t="s">
        <v>13</v>
      </c>
      <c r="W206" s="13">
        <v>46169</v>
      </c>
      <c r="X206" s="12">
        <v>1968</v>
      </c>
      <c r="Y206" s="12">
        <v>4</v>
      </c>
      <c r="Z206" s="15" t="s">
        <v>536</v>
      </c>
      <c r="AT206" s="4"/>
      <c r="AU206" s="4"/>
      <c r="AV206" s="1"/>
    </row>
    <row r="207" spans="1:48" x14ac:dyDescent="0.3">
      <c r="A207" s="14">
        <v>206</v>
      </c>
      <c r="B207" s="12">
        <v>127006</v>
      </c>
      <c r="C207" s="12" t="s">
        <v>237</v>
      </c>
      <c r="D207" s="12" t="s">
        <v>7</v>
      </c>
      <c r="E207" s="12">
        <v>21</v>
      </c>
      <c r="F207" s="12" t="s">
        <v>555</v>
      </c>
      <c r="G207" s="12" t="s">
        <v>25</v>
      </c>
      <c r="H207" s="12" t="s">
        <v>31</v>
      </c>
      <c r="I207" s="12">
        <v>27</v>
      </c>
      <c r="J207" s="12">
        <v>28</v>
      </c>
      <c r="K207" s="12">
        <v>27</v>
      </c>
      <c r="L207" s="12">
        <v>28</v>
      </c>
      <c r="M207" s="12">
        <v>27</v>
      </c>
      <c r="N207" s="12">
        <v>28</v>
      </c>
      <c r="O207" s="12">
        <v>27</v>
      </c>
      <c r="P207" s="12">
        <v>27</v>
      </c>
      <c r="Q207" s="12">
        <v>28</v>
      </c>
      <c r="R207" s="12">
        <v>27</v>
      </c>
      <c r="S207" s="12">
        <v>28</v>
      </c>
      <c r="T207" s="12">
        <v>28</v>
      </c>
      <c r="U207" s="5">
        <v>330</v>
      </c>
      <c r="V207" s="5" t="s">
        <v>17</v>
      </c>
      <c r="W207" s="13">
        <v>46267</v>
      </c>
      <c r="X207" s="12">
        <v>1980</v>
      </c>
      <c r="Y207" s="12">
        <v>5</v>
      </c>
      <c r="Z207" s="15" t="s">
        <v>536</v>
      </c>
      <c r="AT207" s="4"/>
      <c r="AU207" s="4"/>
      <c r="AV207" s="1"/>
    </row>
    <row r="208" spans="1:48" x14ac:dyDescent="0.3">
      <c r="A208" s="14">
        <v>207</v>
      </c>
      <c r="B208" s="12">
        <v>127007</v>
      </c>
      <c r="C208" s="12" t="s">
        <v>238</v>
      </c>
      <c r="D208" s="12" t="s">
        <v>7</v>
      </c>
      <c r="E208" s="12">
        <v>46</v>
      </c>
      <c r="F208" s="12" t="s">
        <v>558</v>
      </c>
      <c r="G208" s="12" t="s">
        <v>35</v>
      </c>
      <c r="H208" s="12" t="s">
        <v>31</v>
      </c>
      <c r="I208" s="12">
        <v>27</v>
      </c>
      <c r="J208" s="12">
        <v>28</v>
      </c>
      <c r="K208" s="12">
        <v>28</v>
      </c>
      <c r="L208" s="12">
        <v>28</v>
      </c>
      <c r="M208" s="12">
        <v>28</v>
      </c>
      <c r="N208" s="12">
        <v>27</v>
      </c>
      <c r="O208" s="12">
        <v>27</v>
      </c>
      <c r="P208" s="12">
        <v>27</v>
      </c>
      <c r="Q208" s="12">
        <v>27</v>
      </c>
      <c r="R208" s="12">
        <v>28</v>
      </c>
      <c r="S208" s="12">
        <v>28</v>
      </c>
      <c r="T208" s="12">
        <v>27</v>
      </c>
      <c r="U208" s="5">
        <v>330</v>
      </c>
      <c r="V208" s="5" t="s">
        <v>13</v>
      </c>
      <c r="W208" s="13">
        <v>46171</v>
      </c>
      <c r="X208" s="12">
        <v>1980</v>
      </c>
      <c r="Y208" s="12">
        <v>4</v>
      </c>
      <c r="Z208" s="15" t="s">
        <v>535</v>
      </c>
      <c r="AT208" s="4"/>
      <c r="AU208" s="4"/>
      <c r="AV208" s="1"/>
    </row>
    <row r="209" spans="1:48" x14ac:dyDescent="0.3">
      <c r="A209" s="14">
        <v>208</v>
      </c>
      <c r="B209" s="12">
        <v>127008</v>
      </c>
      <c r="C209" s="12" t="s">
        <v>239</v>
      </c>
      <c r="D209" s="12" t="s">
        <v>6</v>
      </c>
      <c r="E209" s="12">
        <v>36</v>
      </c>
      <c r="F209" s="12" t="s">
        <v>557</v>
      </c>
      <c r="G209" s="12" t="s">
        <v>30</v>
      </c>
      <c r="H209" s="12" t="s">
        <v>28</v>
      </c>
      <c r="I209" s="12">
        <v>27</v>
      </c>
      <c r="J209" s="12">
        <v>28</v>
      </c>
      <c r="K209" s="12">
        <v>27</v>
      </c>
      <c r="L209" s="12">
        <v>27</v>
      </c>
      <c r="M209" s="12">
        <v>27</v>
      </c>
      <c r="N209" s="12">
        <v>28</v>
      </c>
      <c r="O209" s="12">
        <v>28</v>
      </c>
      <c r="P209" s="12">
        <v>28</v>
      </c>
      <c r="Q209" s="12">
        <v>27</v>
      </c>
      <c r="R209" s="12">
        <v>28</v>
      </c>
      <c r="S209" s="12">
        <v>28</v>
      </c>
      <c r="T209" s="12">
        <v>28</v>
      </c>
      <c r="U209" s="5">
        <v>331</v>
      </c>
      <c r="V209" s="5" t="s">
        <v>15</v>
      </c>
      <c r="W209" s="13">
        <v>46213</v>
      </c>
      <c r="X209" s="12">
        <v>1986</v>
      </c>
      <c r="Y209" s="12">
        <v>5</v>
      </c>
      <c r="Z209" s="15" t="s">
        <v>535</v>
      </c>
      <c r="AT209" s="4"/>
      <c r="AU209" s="4"/>
      <c r="AV209" s="1"/>
    </row>
    <row r="210" spans="1:48" x14ac:dyDescent="0.3">
      <c r="A210" s="14">
        <v>209</v>
      </c>
      <c r="B210" s="12">
        <v>127009</v>
      </c>
      <c r="C210" s="12" t="s">
        <v>240</v>
      </c>
      <c r="D210" s="12" t="s">
        <v>6</v>
      </c>
      <c r="E210" s="12">
        <v>47</v>
      </c>
      <c r="F210" s="12" t="s">
        <v>558</v>
      </c>
      <c r="G210" s="12" t="s">
        <v>25</v>
      </c>
      <c r="H210" s="12" t="s">
        <v>31</v>
      </c>
      <c r="I210" s="12">
        <v>28</v>
      </c>
      <c r="J210" s="12">
        <v>27</v>
      </c>
      <c r="K210" s="12">
        <v>28</v>
      </c>
      <c r="L210" s="12">
        <v>27</v>
      </c>
      <c r="M210" s="12">
        <v>28</v>
      </c>
      <c r="N210" s="12">
        <v>27</v>
      </c>
      <c r="O210" s="12">
        <v>28</v>
      </c>
      <c r="P210" s="12">
        <v>27</v>
      </c>
      <c r="Q210" s="12">
        <v>27</v>
      </c>
      <c r="R210" s="12">
        <v>27</v>
      </c>
      <c r="S210" s="12">
        <v>28</v>
      </c>
      <c r="T210" s="12">
        <v>28</v>
      </c>
      <c r="U210" s="5">
        <v>330</v>
      </c>
      <c r="V210" s="5" t="s">
        <v>15</v>
      </c>
      <c r="W210" s="13">
        <v>46230</v>
      </c>
      <c r="X210" s="12">
        <v>1980</v>
      </c>
      <c r="Y210" s="12">
        <v>3</v>
      </c>
      <c r="Z210" s="15" t="s">
        <v>536</v>
      </c>
      <c r="AT210" s="4"/>
      <c r="AU210" s="4"/>
      <c r="AV210" s="1"/>
    </row>
    <row r="211" spans="1:48" x14ac:dyDescent="0.3">
      <c r="A211" s="14">
        <v>210</v>
      </c>
      <c r="B211" s="12">
        <v>127010</v>
      </c>
      <c r="C211" s="12" t="s">
        <v>241</v>
      </c>
      <c r="D211" s="12" t="s">
        <v>6</v>
      </c>
      <c r="E211" s="12">
        <v>38</v>
      </c>
      <c r="F211" s="12" t="s">
        <v>557</v>
      </c>
      <c r="G211" s="12" t="s">
        <v>38</v>
      </c>
      <c r="H211" s="12" t="s">
        <v>26</v>
      </c>
      <c r="I211" s="12">
        <v>27</v>
      </c>
      <c r="J211" s="12">
        <v>27</v>
      </c>
      <c r="K211" s="12">
        <v>28</v>
      </c>
      <c r="L211" s="12">
        <v>28</v>
      </c>
      <c r="M211" s="12">
        <v>28</v>
      </c>
      <c r="N211" s="12">
        <v>27</v>
      </c>
      <c r="O211" s="12">
        <v>28</v>
      </c>
      <c r="P211" s="12">
        <v>28</v>
      </c>
      <c r="Q211" s="12">
        <v>28</v>
      </c>
      <c r="R211" s="12">
        <v>27</v>
      </c>
      <c r="S211" s="12">
        <v>28</v>
      </c>
      <c r="T211" s="12">
        <v>28</v>
      </c>
      <c r="U211" s="5">
        <v>332</v>
      </c>
      <c r="V211" s="5" t="s">
        <v>15</v>
      </c>
      <c r="W211" s="13">
        <v>46227</v>
      </c>
      <c r="X211" s="12">
        <v>1992</v>
      </c>
      <c r="Y211" s="12">
        <v>4</v>
      </c>
      <c r="Z211" s="15" t="s">
        <v>536</v>
      </c>
      <c r="AT211" s="4"/>
      <c r="AU211" s="4"/>
      <c r="AV211" s="1"/>
    </row>
    <row r="212" spans="1:48" x14ac:dyDescent="0.3">
      <c r="A212" s="14">
        <v>211</v>
      </c>
      <c r="B212" s="12">
        <v>127011</v>
      </c>
      <c r="C212" s="12" t="s">
        <v>242</v>
      </c>
      <c r="D212" s="12" t="s">
        <v>6</v>
      </c>
      <c r="E212" s="12">
        <v>42</v>
      </c>
      <c r="F212" s="12" t="s">
        <v>557</v>
      </c>
      <c r="G212" s="12" t="s">
        <v>35</v>
      </c>
      <c r="H212" s="12" t="s">
        <v>26</v>
      </c>
      <c r="I212" s="12">
        <v>27</v>
      </c>
      <c r="J212" s="12">
        <v>28</v>
      </c>
      <c r="K212" s="12">
        <v>27</v>
      </c>
      <c r="L212" s="12">
        <v>28</v>
      </c>
      <c r="M212" s="12">
        <v>27</v>
      </c>
      <c r="N212" s="12">
        <v>27</v>
      </c>
      <c r="O212" s="12">
        <v>28</v>
      </c>
      <c r="P212" s="12">
        <v>28</v>
      </c>
      <c r="Q212" s="12">
        <v>28</v>
      </c>
      <c r="R212" s="12">
        <v>27</v>
      </c>
      <c r="S212" s="12">
        <v>28</v>
      </c>
      <c r="T212" s="12">
        <v>28</v>
      </c>
      <c r="U212" s="5">
        <v>331</v>
      </c>
      <c r="V212" s="5" t="s">
        <v>12</v>
      </c>
      <c r="W212" s="13">
        <v>46128</v>
      </c>
      <c r="X212" s="12">
        <v>1986</v>
      </c>
      <c r="Y212" s="12">
        <v>5</v>
      </c>
      <c r="Z212" s="15" t="s">
        <v>536</v>
      </c>
      <c r="AT212" s="4"/>
      <c r="AU212" s="4"/>
      <c r="AV212" s="1"/>
    </row>
    <row r="213" spans="1:48" x14ac:dyDescent="0.3">
      <c r="A213" s="14">
        <v>212</v>
      </c>
      <c r="B213" s="12">
        <v>127012</v>
      </c>
      <c r="C213" s="12" t="s">
        <v>243</v>
      </c>
      <c r="D213" s="12" t="s">
        <v>6</v>
      </c>
      <c r="E213" s="12">
        <v>25</v>
      </c>
      <c r="F213" s="12" t="s">
        <v>555</v>
      </c>
      <c r="G213" s="12" t="s">
        <v>25</v>
      </c>
      <c r="H213" s="12" t="s">
        <v>26</v>
      </c>
      <c r="I213" s="12">
        <v>28</v>
      </c>
      <c r="J213" s="12">
        <v>27</v>
      </c>
      <c r="K213" s="12">
        <v>27</v>
      </c>
      <c r="L213" s="12">
        <v>28</v>
      </c>
      <c r="M213" s="12">
        <v>28</v>
      </c>
      <c r="N213" s="12">
        <v>28</v>
      </c>
      <c r="O213" s="12">
        <v>28</v>
      </c>
      <c r="P213" s="12">
        <v>27</v>
      </c>
      <c r="Q213" s="12">
        <v>28</v>
      </c>
      <c r="R213" s="12">
        <v>27</v>
      </c>
      <c r="S213" s="12">
        <v>27</v>
      </c>
      <c r="T213" s="12">
        <v>28</v>
      </c>
      <c r="U213" s="5">
        <v>331</v>
      </c>
      <c r="V213" s="5" t="s">
        <v>15</v>
      </c>
      <c r="W213" s="13">
        <v>46231</v>
      </c>
      <c r="X213" s="12">
        <v>1986</v>
      </c>
      <c r="Y213" s="12">
        <v>3</v>
      </c>
      <c r="Z213" s="15" t="s">
        <v>536</v>
      </c>
      <c r="AT213" s="4"/>
      <c r="AU213" s="4"/>
      <c r="AV213" s="1"/>
    </row>
    <row r="214" spans="1:48" x14ac:dyDescent="0.3">
      <c r="A214" s="14">
        <v>213</v>
      </c>
      <c r="B214" s="12">
        <v>127013</v>
      </c>
      <c r="C214" s="12" t="s">
        <v>244</v>
      </c>
      <c r="D214" s="12" t="s">
        <v>6</v>
      </c>
      <c r="E214" s="12">
        <v>24</v>
      </c>
      <c r="F214" s="12" t="s">
        <v>555</v>
      </c>
      <c r="G214" s="12" t="s">
        <v>35</v>
      </c>
      <c r="H214" s="12" t="s">
        <v>26</v>
      </c>
      <c r="I214" s="12">
        <v>27</v>
      </c>
      <c r="J214" s="12">
        <v>27</v>
      </c>
      <c r="K214" s="12">
        <v>27</v>
      </c>
      <c r="L214" s="12">
        <v>27</v>
      </c>
      <c r="M214" s="12">
        <v>28</v>
      </c>
      <c r="N214" s="12">
        <v>28</v>
      </c>
      <c r="O214" s="12">
        <v>27</v>
      </c>
      <c r="P214" s="12">
        <v>28</v>
      </c>
      <c r="Q214" s="12">
        <v>28</v>
      </c>
      <c r="R214" s="12">
        <v>28</v>
      </c>
      <c r="S214" s="12">
        <v>28</v>
      </c>
      <c r="T214" s="12">
        <v>28</v>
      </c>
      <c r="U214" s="5">
        <v>331</v>
      </c>
      <c r="V214" s="5" t="s">
        <v>14</v>
      </c>
      <c r="W214" s="13">
        <v>46185</v>
      </c>
      <c r="X214" s="12">
        <v>1986</v>
      </c>
      <c r="Y214" s="12">
        <v>5</v>
      </c>
      <c r="Z214" s="15" t="s">
        <v>536</v>
      </c>
      <c r="AT214" s="4"/>
      <c r="AU214" s="4"/>
      <c r="AV214" s="1"/>
    </row>
    <row r="215" spans="1:48" x14ac:dyDescent="0.3">
      <c r="A215" s="14">
        <v>214</v>
      </c>
      <c r="B215" s="12">
        <v>127014</v>
      </c>
      <c r="C215" s="12" t="s">
        <v>245</v>
      </c>
      <c r="D215" s="12" t="s">
        <v>6</v>
      </c>
      <c r="E215" s="12">
        <v>42</v>
      </c>
      <c r="F215" s="12" t="s">
        <v>557</v>
      </c>
      <c r="G215" s="12" t="s">
        <v>35</v>
      </c>
      <c r="H215" s="12" t="s">
        <v>26</v>
      </c>
      <c r="I215" s="12">
        <v>27</v>
      </c>
      <c r="J215" s="12">
        <v>28</v>
      </c>
      <c r="K215" s="12">
        <v>28</v>
      </c>
      <c r="L215" s="12">
        <v>27</v>
      </c>
      <c r="M215" s="12">
        <v>28</v>
      </c>
      <c r="N215" s="12">
        <v>27</v>
      </c>
      <c r="O215" s="12">
        <v>27</v>
      </c>
      <c r="P215" s="12">
        <v>27</v>
      </c>
      <c r="Q215" s="12">
        <v>28</v>
      </c>
      <c r="R215" s="12">
        <v>27</v>
      </c>
      <c r="S215" s="12">
        <v>27</v>
      </c>
      <c r="T215" s="12">
        <v>28</v>
      </c>
      <c r="U215" s="5">
        <v>329</v>
      </c>
      <c r="V215" s="5" t="s">
        <v>16</v>
      </c>
      <c r="W215" s="13">
        <v>46254</v>
      </c>
      <c r="X215" s="12">
        <v>1974</v>
      </c>
      <c r="Y215" s="12">
        <v>3</v>
      </c>
      <c r="Z215" s="15" t="s">
        <v>535</v>
      </c>
      <c r="AT215" s="4"/>
      <c r="AU215" s="4"/>
      <c r="AV215" s="1"/>
    </row>
    <row r="216" spans="1:48" x14ac:dyDescent="0.3">
      <c r="A216" s="14">
        <v>215</v>
      </c>
      <c r="B216" s="12">
        <v>127015</v>
      </c>
      <c r="C216" s="12" t="s">
        <v>246</v>
      </c>
      <c r="D216" s="12" t="s">
        <v>7</v>
      </c>
      <c r="E216" s="12">
        <v>45</v>
      </c>
      <c r="F216" s="12" t="s">
        <v>557</v>
      </c>
      <c r="G216" s="12" t="s">
        <v>35</v>
      </c>
      <c r="H216" s="12" t="s">
        <v>28</v>
      </c>
      <c r="I216" s="12">
        <v>28</v>
      </c>
      <c r="J216" s="12">
        <v>27</v>
      </c>
      <c r="K216" s="12">
        <v>27</v>
      </c>
      <c r="L216" s="12">
        <v>28</v>
      </c>
      <c r="M216" s="12">
        <v>28</v>
      </c>
      <c r="N216" s="12">
        <v>28</v>
      </c>
      <c r="O216" s="12">
        <v>28</v>
      </c>
      <c r="P216" s="12">
        <v>28</v>
      </c>
      <c r="Q216" s="12">
        <v>28</v>
      </c>
      <c r="R216" s="12">
        <v>27</v>
      </c>
      <c r="S216" s="12">
        <v>27</v>
      </c>
      <c r="T216" s="12">
        <v>28</v>
      </c>
      <c r="U216" s="5">
        <v>332</v>
      </c>
      <c r="V216" s="5" t="s">
        <v>9</v>
      </c>
      <c r="W216" s="13">
        <v>46038</v>
      </c>
      <c r="X216" s="12">
        <v>1992</v>
      </c>
      <c r="Y216" s="12">
        <v>5</v>
      </c>
      <c r="Z216" s="15" t="s">
        <v>536</v>
      </c>
      <c r="AT216" s="4"/>
      <c r="AU216" s="4"/>
      <c r="AV216" s="1"/>
    </row>
    <row r="217" spans="1:48" x14ac:dyDescent="0.3">
      <c r="A217" s="14">
        <v>216</v>
      </c>
      <c r="B217" s="12">
        <v>127016</v>
      </c>
      <c r="C217" s="12" t="s">
        <v>247</v>
      </c>
      <c r="D217" s="12" t="s">
        <v>7</v>
      </c>
      <c r="E217" s="12">
        <v>50</v>
      </c>
      <c r="F217" s="12" t="s">
        <v>558</v>
      </c>
      <c r="G217" s="12" t="s">
        <v>30</v>
      </c>
      <c r="H217" s="12" t="s">
        <v>28</v>
      </c>
      <c r="I217" s="12">
        <v>27</v>
      </c>
      <c r="J217" s="12">
        <v>28</v>
      </c>
      <c r="K217" s="12">
        <v>27</v>
      </c>
      <c r="L217" s="12">
        <v>27</v>
      </c>
      <c r="M217" s="12">
        <v>27</v>
      </c>
      <c r="N217" s="12">
        <v>28</v>
      </c>
      <c r="O217" s="12">
        <v>27</v>
      </c>
      <c r="P217" s="12">
        <v>28</v>
      </c>
      <c r="Q217" s="12">
        <v>27</v>
      </c>
      <c r="R217" s="12">
        <v>27</v>
      </c>
      <c r="S217" s="12">
        <v>28</v>
      </c>
      <c r="T217" s="12">
        <v>27</v>
      </c>
      <c r="U217" s="5">
        <v>328</v>
      </c>
      <c r="V217" s="5" t="s">
        <v>16</v>
      </c>
      <c r="W217" s="13">
        <v>46240</v>
      </c>
      <c r="X217" s="12">
        <v>1968</v>
      </c>
      <c r="Y217" s="12">
        <v>4</v>
      </c>
      <c r="Z217" s="15" t="s">
        <v>536</v>
      </c>
      <c r="AT217" s="4"/>
      <c r="AU217" s="4"/>
      <c r="AV217" s="1"/>
    </row>
    <row r="218" spans="1:48" x14ac:dyDescent="0.3">
      <c r="A218" s="14">
        <v>217</v>
      </c>
      <c r="B218" s="12">
        <v>127017</v>
      </c>
      <c r="C218" s="12" t="s">
        <v>248</v>
      </c>
      <c r="D218" s="12" t="s">
        <v>6</v>
      </c>
      <c r="E218" s="12">
        <v>45</v>
      </c>
      <c r="F218" s="12" t="s">
        <v>557</v>
      </c>
      <c r="G218" s="12" t="s">
        <v>38</v>
      </c>
      <c r="H218" s="12" t="s">
        <v>26</v>
      </c>
      <c r="I218" s="12">
        <v>28</v>
      </c>
      <c r="J218" s="12">
        <v>28</v>
      </c>
      <c r="K218" s="12">
        <v>28</v>
      </c>
      <c r="L218" s="12">
        <v>27</v>
      </c>
      <c r="M218" s="12">
        <v>28</v>
      </c>
      <c r="N218" s="12">
        <v>28</v>
      </c>
      <c r="O218" s="12">
        <v>28</v>
      </c>
      <c r="P218" s="12">
        <v>28</v>
      </c>
      <c r="Q218" s="12">
        <v>27</v>
      </c>
      <c r="R218" s="12">
        <v>27</v>
      </c>
      <c r="S218" s="12">
        <v>27</v>
      </c>
      <c r="T218" s="12">
        <v>28</v>
      </c>
      <c r="U218" s="5">
        <v>332</v>
      </c>
      <c r="V218" s="5" t="s">
        <v>11</v>
      </c>
      <c r="W218" s="13">
        <v>46100</v>
      </c>
      <c r="X218" s="12">
        <v>1992</v>
      </c>
      <c r="Y218" s="12">
        <v>3</v>
      </c>
      <c r="Z218" s="15" t="s">
        <v>535</v>
      </c>
      <c r="AT218" s="4"/>
      <c r="AU218" s="4"/>
      <c r="AV218" s="1"/>
    </row>
    <row r="219" spans="1:48" x14ac:dyDescent="0.3">
      <c r="A219" s="14">
        <v>218</v>
      </c>
      <c r="B219" s="12">
        <v>127018</v>
      </c>
      <c r="C219" s="12" t="s">
        <v>249</v>
      </c>
      <c r="D219" s="12" t="s">
        <v>6</v>
      </c>
      <c r="E219" s="12">
        <v>29</v>
      </c>
      <c r="F219" s="12" t="s">
        <v>556</v>
      </c>
      <c r="G219" s="12" t="s">
        <v>25</v>
      </c>
      <c r="H219" s="12" t="s">
        <v>31</v>
      </c>
      <c r="I219" s="12">
        <v>27</v>
      </c>
      <c r="J219" s="12">
        <v>27</v>
      </c>
      <c r="K219" s="12">
        <v>27</v>
      </c>
      <c r="L219" s="12">
        <v>28</v>
      </c>
      <c r="M219" s="12">
        <v>27</v>
      </c>
      <c r="N219" s="12">
        <v>27</v>
      </c>
      <c r="O219" s="12">
        <v>27</v>
      </c>
      <c r="P219" s="12">
        <v>28</v>
      </c>
      <c r="Q219" s="12">
        <v>28</v>
      </c>
      <c r="R219" s="12">
        <v>27</v>
      </c>
      <c r="S219" s="12">
        <v>28</v>
      </c>
      <c r="T219" s="12">
        <v>28</v>
      </c>
      <c r="U219" s="5">
        <v>329</v>
      </c>
      <c r="V219" s="5" t="s">
        <v>12</v>
      </c>
      <c r="W219" s="13">
        <v>46120</v>
      </c>
      <c r="X219" s="12">
        <v>1974</v>
      </c>
      <c r="Y219" s="12">
        <v>5</v>
      </c>
      <c r="Z219" s="15" t="s">
        <v>536</v>
      </c>
      <c r="AT219" s="4"/>
      <c r="AU219" s="4"/>
      <c r="AV219" s="1"/>
    </row>
    <row r="220" spans="1:48" x14ac:dyDescent="0.3">
      <c r="A220" s="14">
        <v>219</v>
      </c>
      <c r="B220" s="12">
        <v>127019</v>
      </c>
      <c r="C220" s="12" t="s">
        <v>250</v>
      </c>
      <c r="D220" s="12" t="s">
        <v>6</v>
      </c>
      <c r="E220" s="12">
        <v>18</v>
      </c>
      <c r="F220" s="12" t="s">
        <v>555</v>
      </c>
      <c r="G220" s="12" t="s">
        <v>30</v>
      </c>
      <c r="H220" s="12" t="s">
        <v>31</v>
      </c>
      <c r="I220" s="12">
        <v>27</v>
      </c>
      <c r="J220" s="12">
        <v>27</v>
      </c>
      <c r="K220" s="12">
        <v>27</v>
      </c>
      <c r="L220" s="12">
        <v>28</v>
      </c>
      <c r="M220" s="12">
        <v>27</v>
      </c>
      <c r="N220" s="12">
        <v>28</v>
      </c>
      <c r="O220" s="12">
        <v>27</v>
      </c>
      <c r="P220" s="12">
        <v>27</v>
      </c>
      <c r="Q220" s="12">
        <v>28</v>
      </c>
      <c r="R220" s="12">
        <v>27</v>
      </c>
      <c r="S220" s="12">
        <v>27</v>
      </c>
      <c r="T220" s="12">
        <v>28</v>
      </c>
      <c r="U220" s="5">
        <v>328</v>
      </c>
      <c r="V220" s="5" t="s">
        <v>16</v>
      </c>
      <c r="W220" s="13">
        <v>46241</v>
      </c>
      <c r="X220" s="12">
        <v>1968</v>
      </c>
      <c r="Y220" s="12">
        <v>4</v>
      </c>
      <c r="Z220" s="15" t="s">
        <v>536</v>
      </c>
      <c r="AT220" s="4"/>
      <c r="AU220" s="4"/>
      <c r="AV220" s="1"/>
    </row>
    <row r="221" spans="1:48" x14ac:dyDescent="0.3">
      <c r="A221" s="14">
        <v>220</v>
      </c>
      <c r="B221" s="12">
        <v>127020</v>
      </c>
      <c r="C221" s="12" t="s">
        <v>251</v>
      </c>
      <c r="D221" s="12" t="s">
        <v>6</v>
      </c>
      <c r="E221" s="12">
        <v>47</v>
      </c>
      <c r="F221" s="12" t="s">
        <v>558</v>
      </c>
      <c r="G221" s="12" t="s">
        <v>30</v>
      </c>
      <c r="H221" s="12" t="s">
        <v>26</v>
      </c>
      <c r="I221" s="12">
        <v>28</v>
      </c>
      <c r="J221" s="12">
        <v>27</v>
      </c>
      <c r="K221" s="12">
        <v>28</v>
      </c>
      <c r="L221" s="12">
        <v>28</v>
      </c>
      <c r="M221" s="12">
        <v>28</v>
      </c>
      <c r="N221" s="12">
        <v>27</v>
      </c>
      <c r="O221" s="12">
        <v>28</v>
      </c>
      <c r="P221" s="12">
        <v>27</v>
      </c>
      <c r="Q221" s="12">
        <v>27</v>
      </c>
      <c r="R221" s="12">
        <v>28</v>
      </c>
      <c r="S221" s="12">
        <v>27</v>
      </c>
      <c r="T221" s="12">
        <v>27</v>
      </c>
      <c r="U221" s="5">
        <v>330</v>
      </c>
      <c r="V221" s="5" t="s">
        <v>17</v>
      </c>
      <c r="W221" s="13">
        <v>46281</v>
      </c>
      <c r="X221" s="12">
        <v>1980</v>
      </c>
      <c r="Y221" s="12">
        <v>4</v>
      </c>
      <c r="Z221" s="15" t="s">
        <v>535</v>
      </c>
      <c r="AT221" s="4"/>
      <c r="AU221" s="4"/>
      <c r="AV221" s="1"/>
    </row>
    <row r="222" spans="1:48" x14ac:dyDescent="0.3">
      <c r="A222" s="14">
        <v>221</v>
      </c>
      <c r="B222" s="12">
        <v>127021</v>
      </c>
      <c r="C222" s="12" t="s">
        <v>252</v>
      </c>
      <c r="D222" s="12" t="s">
        <v>6</v>
      </c>
      <c r="E222" s="12">
        <v>33</v>
      </c>
      <c r="F222" s="12" t="s">
        <v>556</v>
      </c>
      <c r="G222" s="12" t="s">
        <v>45</v>
      </c>
      <c r="H222" s="12" t="s">
        <v>31</v>
      </c>
      <c r="I222" s="12">
        <v>27</v>
      </c>
      <c r="J222" s="12">
        <v>27</v>
      </c>
      <c r="K222" s="12">
        <v>28</v>
      </c>
      <c r="L222" s="12">
        <v>27</v>
      </c>
      <c r="M222" s="12">
        <v>28</v>
      </c>
      <c r="N222" s="12">
        <v>28</v>
      </c>
      <c r="O222" s="12">
        <v>27</v>
      </c>
      <c r="P222" s="12">
        <v>27</v>
      </c>
      <c r="Q222" s="12">
        <v>28</v>
      </c>
      <c r="R222" s="12">
        <v>27</v>
      </c>
      <c r="S222" s="12">
        <v>27</v>
      </c>
      <c r="T222" s="12">
        <v>27</v>
      </c>
      <c r="U222" s="5">
        <v>328</v>
      </c>
      <c r="V222" s="5" t="s">
        <v>15</v>
      </c>
      <c r="W222" s="13">
        <v>46210</v>
      </c>
      <c r="X222" s="12">
        <v>1968</v>
      </c>
      <c r="Y222" s="12">
        <v>5</v>
      </c>
      <c r="Z222" s="15" t="s">
        <v>535</v>
      </c>
      <c r="AT222" s="4"/>
      <c r="AU222" s="4"/>
      <c r="AV222" s="1"/>
    </row>
    <row r="223" spans="1:48" x14ac:dyDescent="0.3">
      <c r="A223" s="14">
        <v>222</v>
      </c>
      <c r="B223" s="12">
        <v>127022</v>
      </c>
      <c r="C223" s="12" t="s">
        <v>253</v>
      </c>
      <c r="D223" s="12" t="s">
        <v>7</v>
      </c>
      <c r="E223" s="12">
        <v>32</v>
      </c>
      <c r="F223" s="12" t="s">
        <v>556</v>
      </c>
      <c r="G223" s="12" t="s">
        <v>35</v>
      </c>
      <c r="H223" s="12" t="s">
        <v>31</v>
      </c>
      <c r="I223" s="12">
        <v>28</v>
      </c>
      <c r="J223" s="12">
        <v>28</v>
      </c>
      <c r="K223" s="12">
        <v>28</v>
      </c>
      <c r="L223" s="12">
        <v>27</v>
      </c>
      <c r="M223" s="12">
        <v>28</v>
      </c>
      <c r="N223" s="12">
        <v>27</v>
      </c>
      <c r="O223" s="12">
        <v>28</v>
      </c>
      <c r="P223" s="12">
        <v>28</v>
      </c>
      <c r="Q223" s="12">
        <v>28</v>
      </c>
      <c r="R223" s="12">
        <v>28</v>
      </c>
      <c r="S223" s="12">
        <v>28</v>
      </c>
      <c r="T223" s="12">
        <v>28</v>
      </c>
      <c r="U223" s="5">
        <v>334</v>
      </c>
      <c r="V223" s="5" t="s">
        <v>17</v>
      </c>
      <c r="W223" s="13">
        <v>46280</v>
      </c>
      <c r="X223" s="12">
        <v>2004</v>
      </c>
      <c r="Y223" s="12">
        <v>5</v>
      </c>
      <c r="Z223" s="15" t="s">
        <v>536</v>
      </c>
      <c r="AT223" s="4"/>
      <c r="AU223" s="4"/>
      <c r="AV223" s="1"/>
    </row>
    <row r="224" spans="1:48" x14ac:dyDescent="0.3">
      <c r="A224" s="14">
        <v>223</v>
      </c>
      <c r="B224" s="12">
        <v>127023</v>
      </c>
      <c r="C224" s="12" t="s">
        <v>254</v>
      </c>
      <c r="D224" s="12" t="s">
        <v>6</v>
      </c>
      <c r="E224" s="12">
        <v>29</v>
      </c>
      <c r="F224" s="12" t="s">
        <v>556</v>
      </c>
      <c r="G224" s="12" t="s">
        <v>25</v>
      </c>
      <c r="H224" s="12" t="s">
        <v>31</v>
      </c>
      <c r="I224" s="12">
        <v>27</v>
      </c>
      <c r="J224" s="12">
        <v>28</v>
      </c>
      <c r="K224" s="12">
        <v>28</v>
      </c>
      <c r="L224" s="12">
        <v>27</v>
      </c>
      <c r="M224" s="12">
        <v>27</v>
      </c>
      <c r="N224" s="12">
        <v>28</v>
      </c>
      <c r="O224" s="12">
        <v>28</v>
      </c>
      <c r="P224" s="12">
        <v>27</v>
      </c>
      <c r="Q224" s="12">
        <v>28</v>
      </c>
      <c r="R224" s="12">
        <v>28</v>
      </c>
      <c r="S224" s="12">
        <v>28</v>
      </c>
      <c r="T224" s="12">
        <v>28</v>
      </c>
      <c r="U224" s="5">
        <v>332</v>
      </c>
      <c r="V224" s="5" t="s">
        <v>16</v>
      </c>
      <c r="W224" s="13">
        <v>46242</v>
      </c>
      <c r="X224" s="12">
        <v>1992</v>
      </c>
      <c r="Y224" s="12">
        <v>3</v>
      </c>
      <c r="Z224" s="15" t="s">
        <v>536</v>
      </c>
      <c r="AT224" s="4"/>
      <c r="AU224" s="4"/>
      <c r="AV224" s="1"/>
    </row>
    <row r="225" spans="1:48" x14ac:dyDescent="0.3">
      <c r="A225" s="14">
        <v>224</v>
      </c>
      <c r="B225" s="12">
        <v>127024</v>
      </c>
      <c r="C225" s="12" t="s">
        <v>255</v>
      </c>
      <c r="D225" s="12" t="s">
        <v>6</v>
      </c>
      <c r="E225" s="12">
        <v>33</v>
      </c>
      <c r="F225" s="12" t="s">
        <v>556</v>
      </c>
      <c r="G225" s="12" t="s">
        <v>30</v>
      </c>
      <c r="H225" s="12" t="s">
        <v>26</v>
      </c>
      <c r="I225" s="12">
        <v>27</v>
      </c>
      <c r="J225" s="12">
        <v>28</v>
      </c>
      <c r="K225" s="12">
        <v>28</v>
      </c>
      <c r="L225" s="12">
        <v>28</v>
      </c>
      <c r="M225" s="12">
        <v>28</v>
      </c>
      <c r="N225" s="12">
        <v>27</v>
      </c>
      <c r="O225" s="12">
        <v>27</v>
      </c>
      <c r="P225" s="12">
        <v>27</v>
      </c>
      <c r="Q225" s="12">
        <v>28</v>
      </c>
      <c r="R225" s="12">
        <v>28</v>
      </c>
      <c r="S225" s="12">
        <v>28</v>
      </c>
      <c r="T225" s="12">
        <v>27</v>
      </c>
      <c r="U225" s="5">
        <v>331</v>
      </c>
      <c r="V225" s="5" t="s">
        <v>10</v>
      </c>
      <c r="W225" s="13">
        <v>46057</v>
      </c>
      <c r="X225" s="12">
        <v>1986</v>
      </c>
      <c r="Y225" s="12">
        <v>5</v>
      </c>
      <c r="Z225" s="15" t="s">
        <v>536</v>
      </c>
      <c r="AT225" s="4"/>
      <c r="AU225" s="4"/>
      <c r="AV225" s="1"/>
    </row>
    <row r="226" spans="1:48" x14ac:dyDescent="0.3">
      <c r="A226" s="14">
        <v>225</v>
      </c>
      <c r="B226" s="12">
        <v>127025</v>
      </c>
      <c r="C226" s="12" t="s">
        <v>256</v>
      </c>
      <c r="D226" s="12" t="s">
        <v>6</v>
      </c>
      <c r="E226" s="12">
        <v>30</v>
      </c>
      <c r="F226" s="12" t="s">
        <v>556</v>
      </c>
      <c r="G226" s="12" t="s">
        <v>45</v>
      </c>
      <c r="H226" s="12" t="s">
        <v>28</v>
      </c>
      <c r="I226" s="12">
        <v>27</v>
      </c>
      <c r="J226" s="12">
        <v>28</v>
      </c>
      <c r="K226" s="12">
        <v>27</v>
      </c>
      <c r="L226" s="12">
        <v>28</v>
      </c>
      <c r="M226" s="12">
        <v>27</v>
      </c>
      <c r="N226" s="12">
        <v>27</v>
      </c>
      <c r="O226" s="12">
        <v>27</v>
      </c>
      <c r="P226" s="12">
        <v>27</v>
      </c>
      <c r="Q226" s="12">
        <v>28</v>
      </c>
      <c r="R226" s="12">
        <v>28</v>
      </c>
      <c r="S226" s="12">
        <v>27</v>
      </c>
      <c r="T226" s="12">
        <v>27</v>
      </c>
      <c r="U226" s="5">
        <v>328</v>
      </c>
      <c r="V226" s="5" t="s">
        <v>12</v>
      </c>
      <c r="W226" s="13">
        <v>46129</v>
      </c>
      <c r="X226" s="12">
        <v>1968</v>
      </c>
      <c r="Y226" s="12">
        <v>5</v>
      </c>
      <c r="Z226" s="15" t="s">
        <v>536</v>
      </c>
      <c r="AT226" s="4"/>
      <c r="AU226" s="4"/>
      <c r="AV226" s="1"/>
    </row>
    <row r="227" spans="1:48" x14ac:dyDescent="0.3">
      <c r="A227" s="14">
        <v>226</v>
      </c>
      <c r="B227" s="12">
        <v>127026</v>
      </c>
      <c r="C227" s="12" t="s">
        <v>257</v>
      </c>
      <c r="D227" s="12" t="s">
        <v>7</v>
      </c>
      <c r="E227" s="12">
        <v>34</v>
      </c>
      <c r="F227" s="12" t="s">
        <v>556</v>
      </c>
      <c r="G227" s="12" t="s">
        <v>35</v>
      </c>
      <c r="H227" s="12" t="s">
        <v>28</v>
      </c>
      <c r="I227" s="12">
        <v>28</v>
      </c>
      <c r="J227" s="12">
        <v>28</v>
      </c>
      <c r="K227" s="12">
        <v>28</v>
      </c>
      <c r="L227" s="12">
        <v>28</v>
      </c>
      <c r="M227" s="12">
        <v>28</v>
      </c>
      <c r="N227" s="12">
        <v>28</v>
      </c>
      <c r="O227" s="12">
        <v>28</v>
      </c>
      <c r="P227" s="12">
        <v>27</v>
      </c>
      <c r="Q227" s="12">
        <v>27</v>
      </c>
      <c r="R227" s="12">
        <v>28</v>
      </c>
      <c r="S227" s="12">
        <v>27</v>
      </c>
      <c r="T227" s="12">
        <v>28</v>
      </c>
      <c r="U227" s="5">
        <v>333</v>
      </c>
      <c r="V227" s="5" t="s">
        <v>12</v>
      </c>
      <c r="W227" s="13">
        <v>46135</v>
      </c>
      <c r="X227" s="12">
        <v>1998</v>
      </c>
      <c r="Y227" s="12">
        <v>5</v>
      </c>
      <c r="Z227" s="15" t="s">
        <v>535</v>
      </c>
      <c r="AT227" s="4"/>
      <c r="AU227" s="4"/>
      <c r="AV227" s="1"/>
    </row>
    <row r="228" spans="1:48" x14ac:dyDescent="0.3">
      <c r="A228" s="14">
        <v>227</v>
      </c>
      <c r="B228" s="12">
        <v>127027</v>
      </c>
      <c r="C228" s="12" t="s">
        <v>258</v>
      </c>
      <c r="D228" s="12" t="s">
        <v>6</v>
      </c>
      <c r="E228" s="12">
        <v>33</v>
      </c>
      <c r="F228" s="12" t="s">
        <v>556</v>
      </c>
      <c r="G228" s="12" t="s">
        <v>35</v>
      </c>
      <c r="H228" s="12" t="s">
        <v>31</v>
      </c>
      <c r="I228" s="12">
        <v>27</v>
      </c>
      <c r="J228" s="12">
        <v>27</v>
      </c>
      <c r="K228" s="12">
        <v>27</v>
      </c>
      <c r="L228" s="12">
        <v>27</v>
      </c>
      <c r="M228" s="12">
        <v>27</v>
      </c>
      <c r="N228" s="12">
        <v>28</v>
      </c>
      <c r="O228" s="12">
        <v>28</v>
      </c>
      <c r="P228" s="12">
        <v>28</v>
      </c>
      <c r="Q228" s="12">
        <v>27</v>
      </c>
      <c r="R228" s="12">
        <v>28</v>
      </c>
      <c r="S228" s="12">
        <v>27</v>
      </c>
      <c r="T228" s="12">
        <v>28</v>
      </c>
      <c r="U228" s="5">
        <v>329</v>
      </c>
      <c r="V228" s="5" t="s">
        <v>11</v>
      </c>
      <c r="W228" s="13">
        <v>46110</v>
      </c>
      <c r="X228" s="12">
        <v>1974</v>
      </c>
      <c r="Y228" s="12">
        <v>3</v>
      </c>
      <c r="Z228" s="15" t="s">
        <v>535</v>
      </c>
      <c r="AT228" s="4"/>
      <c r="AU228" s="4"/>
      <c r="AV228" s="1"/>
    </row>
    <row r="229" spans="1:48" x14ac:dyDescent="0.3">
      <c r="A229" s="14">
        <v>228</v>
      </c>
      <c r="B229" s="12">
        <v>127028</v>
      </c>
      <c r="C229" s="12" t="s">
        <v>259</v>
      </c>
      <c r="D229" s="12" t="s">
        <v>7</v>
      </c>
      <c r="E229" s="12">
        <v>21</v>
      </c>
      <c r="F229" s="12" t="s">
        <v>555</v>
      </c>
      <c r="G229" s="12" t="s">
        <v>35</v>
      </c>
      <c r="H229" s="12" t="s">
        <v>26</v>
      </c>
      <c r="I229" s="12">
        <v>28</v>
      </c>
      <c r="J229" s="12">
        <v>27</v>
      </c>
      <c r="K229" s="12">
        <v>28</v>
      </c>
      <c r="L229" s="12">
        <v>28</v>
      </c>
      <c r="M229" s="12">
        <v>27</v>
      </c>
      <c r="N229" s="12">
        <v>28</v>
      </c>
      <c r="O229" s="12">
        <v>28</v>
      </c>
      <c r="P229" s="12">
        <v>28</v>
      </c>
      <c r="Q229" s="12">
        <v>27</v>
      </c>
      <c r="R229" s="12">
        <v>27</v>
      </c>
      <c r="S229" s="12">
        <v>28</v>
      </c>
      <c r="T229" s="12">
        <v>27</v>
      </c>
      <c r="U229" s="5">
        <v>331</v>
      </c>
      <c r="V229" s="5" t="s">
        <v>12</v>
      </c>
      <c r="W229" s="13">
        <v>46116</v>
      </c>
      <c r="X229" s="12">
        <v>1986</v>
      </c>
      <c r="Y229" s="12">
        <v>5</v>
      </c>
      <c r="Z229" s="15" t="s">
        <v>536</v>
      </c>
      <c r="AT229" s="4"/>
      <c r="AU229" s="4"/>
      <c r="AV229" s="1"/>
    </row>
    <row r="230" spans="1:48" x14ac:dyDescent="0.3">
      <c r="A230" s="14">
        <v>229</v>
      </c>
      <c r="B230" s="12">
        <v>127029</v>
      </c>
      <c r="C230" s="12" t="s">
        <v>260</v>
      </c>
      <c r="D230" s="12" t="s">
        <v>7</v>
      </c>
      <c r="E230" s="12">
        <v>39</v>
      </c>
      <c r="F230" s="12" t="s">
        <v>557</v>
      </c>
      <c r="G230" s="12" t="s">
        <v>30</v>
      </c>
      <c r="H230" s="12" t="s">
        <v>28</v>
      </c>
      <c r="I230" s="12">
        <v>28</v>
      </c>
      <c r="J230" s="12">
        <v>27</v>
      </c>
      <c r="K230" s="12">
        <v>28</v>
      </c>
      <c r="L230" s="12">
        <v>28</v>
      </c>
      <c r="M230" s="12">
        <v>27</v>
      </c>
      <c r="N230" s="12">
        <v>27</v>
      </c>
      <c r="O230" s="12">
        <v>27</v>
      </c>
      <c r="P230" s="12">
        <v>28</v>
      </c>
      <c r="Q230" s="12">
        <v>28</v>
      </c>
      <c r="R230" s="12">
        <v>28</v>
      </c>
      <c r="S230" s="12">
        <v>27</v>
      </c>
      <c r="T230" s="12">
        <v>28</v>
      </c>
      <c r="U230" s="5">
        <v>331</v>
      </c>
      <c r="V230" s="5" t="s">
        <v>16</v>
      </c>
      <c r="W230" s="13">
        <v>46257</v>
      </c>
      <c r="X230" s="12">
        <v>1986</v>
      </c>
      <c r="Y230" s="12">
        <v>5</v>
      </c>
      <c r="Z230" s="15" t="s">
        <v>536</v>
      </c>
      <c r="AT230" s="4"/>
      <c r="AU230" s="4"/>
      <c r="AV230" s="1"/>
    </row>
    <row r="231" spans="1:48" x14ac:dyDescent="0.3">
      <c r="A231" s="14">
        <v>230</v>
      </c>
      <c r="B231" s="12">
        <v>127030</v>
      </c>
      <c r="C231" s="12" t="s">
        <v>261</v>
      </c>
      <c r="D231" s="12" t="s">
        <v>6</v>
      </c>
      <c r="E231" s="12">
        <v>42</v>
      </c>
      <c r="F231" s="12" t="s">
        <v>557</v>
      </c>
      <c r="G231" s="12" t="s">
        <v>38</v>
      </c>
      <c r="H231" s="12" t="s">
        <v>28</v>
      </c>
      <c r="I231" s="12">
        <v>27</v>
      </c>
      <c r="J231" s="12">
        <v>28</v>
      </c>
      <c r="K231" s="12">
        <v>27</v>
      </c>
      <c r="L231" s="12">
        <v>28</v>
      </c>
      <c r="M231" s="12">
        <v>28</v>
      </c>
      <c r="N231" s="12">
        <v>27</v>
      </c>
      <c r="O231" s="12">
        <v>28</v>
      </c>
      <c r="P231" s="12">
        <v>27</v>
      </c>
      <c r="Q231" s="12">
        <v>28</v>
      </c>
      <c r="R231" s="12">
        <v>27</v>
      </c>
      <c r="S231" s="12">
        <v>27</v>
      </c>
      <c r="T231" s="12">
        <v>27</v>
      </c>
      <c r="U231" s="5">
        <v>329</v>
      </c>
      <c r="V231" s="5" t="s">
        <v>15</v>
      </c>
      <c r="W231" s="13">
        <v>46228</v>
      </c>
      <c r="X231" s="12">
        <v>1974</v>
      </c>
      <c r="Y231" s="12">
        <v>5</v>
      </c>
      <c r="Z231" s="15" t="s">
        <v>536</v>
      </c>
      <c r="AT231" s="4"/>
      <c r="AU231" s="4"/>
      <c r="AV231" s="1"/>
    </row>
    <row r="232" spans="1:48" x14ac:dyDescent="0.3">
      <c r="A232" s="14">
        <v>231</v>
      </c>
      <c r="B232" s="12">
        <v>127031</v>
      </c>
      <c r="C232" s="12" t="s">
        <v>262</v>
      </c>
      <c r="D232" s="12" t="s">
        <v>6</v>
      </c>
      <c r="E232" s="12">
        <v>32</v>
      </c>
      <c r="F232" s="12" t="s">
        <v>556</v>
      </c>
      <c r="G232" s="12" t="s">
        <v>38</v>
      </c>
      <c r="H232" s="12" t="s">
        <v>28</v>
      </c>
      <c r="I232" s="12">
        <v>27</v>
      </c>
      <c r="J232" s="12">
        <v>28</v>
      </c>
      <c r="K232" s="12">
        <v>28</v>
      </c>
      <c r="L232" s="12">
        <v>28</v>
      </c>
      <c r="M232" s="12">
        <v>28</v>
      </c>
      <c r="N232" s="12">
        <v>28</v>
      </c>
      <c r="O232" s="12">
        <v>28</v>
      </c>
      <c r="P232" s="12">
        <v>27</v>
      </c>
      <c r="Q232" s="12">
        <v>28</v>
      </c>
      <c r="R232" s="12">
        <v>28</v>
      </c>
      <c r="S232" s="12">
        <v>28</v>
      </c>
      <c r="T232" s="12">
        <v>28</v>
      </c>
      <c r="U232" s="5">
        <v>334</v>
      </c>
      <c r="V232" s="5" t="s">
        <v>17</v>
      </c>
      <c r="W232" s="13">
        <v>46295</v>
      </c>
      <c r="X232" s="12">
        <v>2004</v>
      </c>
      <c r="Y232" s="12">
        <v>4</v>
      </c>
      <c r="Z232" s="15" t="s">
        <v>536</v>
      </c>
      <c r="AT232" s="4"/>
      <c r="AU232" s="4"/>
      <c r="AV232" s="1"/>
    </row>
    <row r="233" spans="1:48" x14ac:dyDescent="0.3">
      <c r="A233" s="14">
        <v>232</v>
      </c>
      <c r="B233" s="12">
        <v>127032</v>
      </c>
      <c r="C233" s="12" t="s">
        <v>263</v>
      </c>
      <c r="D233" s="12" t="s">
        <v>6</v>
      </c>
      <c r="E233" s="12">
        <v>39</v>
      </c>
      <c r="F233" s="12" t="s">
        <v>557</v>
      </c>
      <c r="G233" s="12" t="s">
        <v>30</v>
      </c>
      <c r="H233" s="12" t="s">
        <v>26</v>
      </c>
      <c r="I233" s="12">
        <v>27</v>
      </c>
      <c r="J233" s="12">
        <v>27</v>
      </c>
      <c r="K233" s="12">
        <v>28</v>
      </c>
      <c r="L233" s="12">
        <v>28</v>
      </c>
      <c r="M233" s="12">
        <v>28</v>
      </c>
      <c r="N233" s="12">
        <v>27</v>
      </c>
      <c r="O233" s="12">
        <v>27</v>
      </c>
      <c r="P233" s="12">
        <v>28</v>
      </c>
      <c r="Q233" s="12">
        <v>28</v>
      </c>
      <c r="R233" s="12">
        <v>27</v>
      </c>
      <c r="S233" s="12">
        <v>27</v>
      </c>
      <c r="T233" s="12">
        <v>28</v>
      </c>
      <c r="U233" s="5">
        <v>330</v>
      </c>
      <c r="V233" s="5" t="s">
        <v>14</v>
      </c>
      <c r="W233" s="13">
        <v>46176</v>
      </c>
      <c r="X233" s="12">
        <v>1980</v>
      </c>
      <c r="Y233" s="12">
        <v>5</v>
      </c>
      <c r="Z233" s="15" t="s">
        <v>535</v>
      </c>
      <c r="AT233" s="4"/>
      <c r="AU233" s="4"/>
      <c r="AV233" s="1"/>
    </row>
    <row r="234" spans="1:48" x14ac:dyDescent="0.3">
      <c r="A234" s="14">
        <v>233</v>
      </c>
      <c r="B234" s="12">
        <v>127033</v>
      </c>
      <c r="C234" s="12" t="s">
        <v>264</v>
      </c>
      <c r="D234" s="12" t="s">
        <v>6</v>
      </c>
      <c r="E234" s="12">
        <v>22</v>
      </c>
      <c r="F234" s="12" t="s">
        <v>555</v>
      </c>
      <c r="G234" s="12" t="s">
        <v>45</v>
      </c>
      <c r="H234" s="12" t="s">
        <v>31</v>
      </c>
      <c r="I234" s="12">
        <v>28</v>
      </c>
      <c r="J234" s="12">
        <v>27</v>
      </c>
      <c r="K234" s="12">
        <v>27</v>
      </c>
      <c r="L234" s="12">
        <v>27</v>
      </c>
      <c r="M234" s="12">
        <v>28</v>
      </c>
      <c r="N234" s="12">
        <v>27</v>
      </c>
      <c r="O234" s="12">
        <v>28</v>
      </c>
      <c r="P234" s="12">
        <v>28</v>
      </c>
      <c r="Q234" s="12">
        <v>27</v>
      </c>
      <c r="R234" s="12">
        <v>27</v>
      </c>
      <c r="S234" s="12">
        <v>28</v>
      </c>
      <c r="T234" s="12">
        <v>28</v>
      </c>
      <c r="U234" s="5">
        <v>330</v>
      </c>
      <c r="V234" s="5" t="s">
        <v>11</v>
      </c>
      <c r="W234" s="13">
        <v>46095</v>
      </c>
      <c r="X234" s="12">
        <v>1980</v>
      </c>
      <c r="Y234" s="12">
        <v>5</v>
      </c>
      <c r="Z234" s="15" t="s">
        <v>536</v>
      </c>
      <c r="AT234" s="4"/>
      <c r="AU234" s="4"/>
      <c r="AV234" s="1"/>
    </row>
    <row r="235" spans="1:48" x14ac:dyDescent="0.3">
      <c r="A235" s="14">
        <v>234</v>
      </c>
      <c r="B235" s="12">
        <v>127034</v>
      </c>
      <c r="C235" s="12" t="s">
        <v>265</v>
      </c>
      <c r="D235" s="12" t="s">
        <v>6</v>
      </c>
      <c r="E235" s="12">
        <v>46</v>
      </c>
      <c r="F235" s="12" t="s">
        <v>558</v>
      </c>
      <c r="G235" s="12" t="s">
        <v>38</v>
      </c>
      <c r="H235" s="12" t="s">
        <v>26</v>
      </c>
      <c r="I235" s="12">
        <v>27</v>
      </c>
      <c r="J235" s="12">
        <v>27</v>
      </c>
      <c r="K235" s="12">
        <v>28</v>
      </c>
      <c r="L235" s="12">
        <v>27</v>
      </c>
      <c r="M235" s="12">
        <v>27</v>
      </c>
      <c r="N235" s="12">
        <v>27</v>
      </c>
      <c r="O235" s="12">
        <v>27</v>
      </c>
      <c r="P235" s="12">
        <v>27</v>
      </c>
      <c r="Q235" s="12">
        <v>27</v>
      </c>
      <c r="R235" s="12">
        <v>28</v>
      </c>
      <c r="S235" s="12">
        <v>27</v>
      </c>
      <c r="T235" s="12">
        <v>28</v>
      </c>
      <c r="U235" s="5">
        <v>327</v>
      </c>
      <c r="V235" s="5" t="s">
        <v>12</v>
      </c>
      <c r="W235" s="13">
        <v>46124</v>
      </c>
      <c r="X235" s="12">
        <v>1962</v>
      </c>
      <c r="Y235" s="12">
        <v>3</v>
      </c>
      <c r="Z235" s="15" t="s">
        <v>535</v>
      </c>
      <c r="AT235" s="4"/>
      <c r="AU235" s="4"/>
      <c r="AV235" s="1"/>
    </row>
    <row r="236" spans="1:48" x14ac:dyDescent="0.3">
      <c r="A236" s="14">
        <v>235</v>
      </c>
      <c r="B236" s="12">
        <v>127035</v>
      </c>
      <c r="C236" s="12" t="s">
        <v>266</v>
      </c>
      <c r="D236" s="12" t="s">
        <v>6</v>
      </c>
      <c r="E236" s="12">
        <v>33</v>
      </c>
      <c r="F236" s="12" t="s">
        <v>556</v>
      </c>
      <c r="G236" s="12" t="s">
        <v>38</v>
      </c>
      <c r="H236" s="12" t="s">
        <v>28</v>
      </c>
      <c r="I236" s="12">
        <v>28</v>
      </c>
      <c r="J236" s="12">
        <v>28</v>
      </c>
      <c r="K236" s="12">
        <v>27</v>
      </c>
      <c r="L236" s="12">
        <v>28</v>
      </c>
      <c r="M236" s="12">
        <v>28</v>
      </c>
      <c r="N236" s="12">
        <v>27</v>
      </c>
      <c r="O236" s="12">
        <v>27</v>
      </c>
      <c r="P236" s="12">
        <v>28</v>
      </c>
      <c r="Q236" s="12">
        <v>27</v>
      </c>
      <c r="R236" s="12">
        <v>27</v>
      </c>
      <c r="S236" s="12">
        <v>28</v>
      </c>
      <c r="T236" s="12">
        <v>27</v>
      </c>
      <c r="U236" s="5">
        <v>330</v>
      </c>
      <c r="V236" s="5" t="s">
        <v>17</v>
      </c>
      <c r="W236" s="13">
        <v>46274</v>
      </c>
      <c r="X236" s="12">
        <v>1980</v>
      </c>
      <c r="Y236" s="12">
        <v>5</v>
      </c>
      <c r="Z236" s="15" t="s">
        <v>535</v>
      </c>
      <c r="AT236" s="4"/>
      <c r="AU236" s="4"/>
      <c r="AV236" s="1"/>
    </row>
    <row r="237" spans="1:48" x14ac:dyDescent="0.3">
      <c r="A237" s="14">
        <v>236</v>
      </c>
      <c r="B237" s="12">
        <v>127036</v>
      </c>
      <c r="C237" s="12" t="s">
        <v>267</v>
      </c>
      <c r="D237" s="12" t="s">
        <v>6</v>
      </c>
      <c r="E237" s="12">
        <v>37</v>
      </c>
      <c r="F237" s="12" t="s">
        <v>557</v>
      </c>
      <c r="G237" s="12" t="s">
        <v>25</v>
      </c>
      <c r="H237" s="12" t="s">
        <v>26</v>
      </c>
      <c r="I237" s="12">
        <v>28</v>
      </c>
      <c r="J237" s="12">
        <v>28</v>
      </c>
      <c r="K237" s="12">
        <v>27</v>
      </c>
      <c r="L237" s="12">
        <v>28</v>
      </c>
      <c r="M237" s="12">
        <v>27</v>
      </c>
      <c r="N237" s="12">
        <v>28</v>
      </c>
      <c r="O237" s="12">
        <v>28</v>
      </c>
      <c r="P237" s="12">
        <v>28</v>
      </c>
      <c r="Q237" s="12">
        <v>28</v>
      </c>
      <c r="R237" s="12">
        <v>28</v>
      </c>
      <c r="S237" s="12">
        <v>27</v>
      </c>
      <c r="T237" s="12">
        <v>28</v>
      </c>
      <c r="U237" s="5">
        <v>333</v>
      </c>
      <c r="V237" s="5" t="s">
        <v>15</v>
      </c>
      <c r="W237" s="13">
        <v>46216</v>
      </c>
      <c r="X237" s="12">
        <v>1998</v>
      </c>
      <c r="Y237" s="12">
        <v>3</v>
      </c>
      <c r="Z237" s="15" t="s">
        <v>535</v>
      </c>
      <c r="AT237" s="4"/>
      <c r="AU237" s="4"/>
      <c r="AV237" s="1"/>
    </row>
    <row r="238" spans="1:48" x14ac:dyDescent="0.3">
      <c r="A238" s="14">
        <v>237</v>
      </c>
      <c r="B238" s="12">
        <v>127037</v>
      </c>
      <c r="C238" s="12" t="s">
        <v>268</v>
      </c>
      <c r="D238" s="12" t="s">
        <v>7</v>
      </c>
      <c r="E238" s="12">
        <v>27</v>
      </c>
      <c r="F238" s="12" t="s">
        <v>556</v>
      </c>
      <c r="G238" s="12" t="s">
        <v>45</v>
      </c>
      <c r="H238" s="12" t="s">
        <v>28</v>
      </c>
      <c r="I238" s="12">
        <v>28</v>
      </c>
      <c r="J238" s="12">
        <v>27</v>
      </c>
      <c r="K238" s="12">
        <v>27</v>
      </c>
      <c r="L238" s="12">
        <v>27</v>
      </c>
      <c r="M238" s="12">
        <v>28</v>
      </c>
      <c r="N238" s="12">
        <v>28</v>
      </c>
      <c r="O238" s="12">
        <v>27</v>
      </c>
      <c r="P238" s="12">
        <v>28</v>
      </c>
      <c r="Q238" s="12">
        <v>28</v>
      </c>
      <c r="R238" s="12">
        <v>28</v>
      </c>
      <c r="S238" s="12">
        <v>28</v>
      </c>
      <c r="T238" s="12">
        <v>28</v>
      </c>
      <c r="U238" s="5">
        <v>332</v>
      </c>
      <c r="V238" s="5" t="s">
        <v>15</v>
      </c>
      <c r="W238" s="13">
        <v>46226</v>
      </c>
      <c r="X238" s="12">
        <v>1992</v>
      </c>
      <c r="Y238" s="12">
        <v>4</v>
      </c>
      <c r="Z238" s="15" t="s">
        <v>535</v>
      </c>
      <c r="AT238" s="4"/>
      <c r="AU238" s="4"/>
      <c r="AV238" s="1"/>
    </row>
    <row r="239" spans="1:48" x14ac:dyDescent="0.3">
      <c r="A239" s="14">
        <v>238</v>
      </c>
      <c r="B239" s="12">
        <v>127038</v>
      </c>
      <c r="C239" s="12" t="s">
        <v>269</v>
      </c>
      <c r="D239" s="12" t="s">
        <v>7</v>
      </c>
      <c r="E239" s="12">
        <v>20</v>
      </c>
      <c r="F239" s="12" t="s">
        <v>555</v>
      </c>
      <c r="G239" s="12" t="s">
        <v>38</v>
      </c>
      <c r="H239" s="12" t="s">
        <v>26</v>
      </c>
      <c r="I239" s="12">
        <v>27</v>
      </c>
      <c r="J239" s="12">
        <v>28</v>
      </c>
      <c r="K239" s="12">
        <v>27</v>
      </c>
      <c r="L239" s="12">
        <v>28</v>
      </c>
      <c r="M239" s="12">
        <v>27</v>
      </c>
      <c r="N239" s="12">
        <v>28</v>
      </c>
      <c r="O239" s="12">
        <v>27</v>
      </c>
      <c r="P239" s="12">
        <v>28</v>
      </c>
      <c r="Q239" s="12">
        <v>28</v>
      </c>
      <c r="R239" s="12">
        <v>27</v>
      </c>
      <c r="S239" s="12">
        <v>28</v>
      </c>
      <c r="T239" s="12">
        <v>28</v>
      </c>
      <c r="U239" s="5">
        <v>331</v>
      </c>
      <c r="V239" s="5" t="s">
        <v>12</v>
      </c>
      <c r="W239" s="13">
        <v>46125</v>
      </c>
      <c r="X239" s="12">
        <v>1986</v>
      </c>
      <c r="Y239" s="12">
        <v>4</v>
      </c>
      <c r="Z239" s="15" t="s">
        <v>535</v>
      </c>
      <c r="AT239" s="4"/>
      <c r="AU239" s="4"/>
      <c r="AV239" s="1"/>
    </row>
    <row r="240" spans="1:48" x14ac:dyDescent="0.3">
      <c r="A240" s="14">
        <v>239</v>
      </c>
      <c r="B240" s="12">
        <v>127039</v>
      </c>
      <c r="C240" s="12" t="s">
        <v>270</v>
      </c>
      <c r="D240" s="12" t="s">
        <v>6</v>
      </c>
      <c r="E240" s="12">
        <v>28</v>
      </c>
      <c r="F240" s="12" t="s">
        <v>556</v>
      </c>
      <c r="G240" s="12" t="s">
        <v>38</v>
      </c>
      <c r="H240" s="12" t="s">
        <v>26</v>
      </c>
      <c r="I240" s="12">
        <v>27</v>
      </c>
      <c r="J240" s="12">
        <v>28</v>
      </c>
      <c r="K240" s="12">
        <v>28</v>
      </c>
      <c r="L240" s="12">
        <v>28</v>
      </c>
      <c r="M240" s="12">
        <v>27</v>
      </c>
      <c r="N240" s="12">
        <v>28</v>
      </c>
      <c r="O240" s="12">
        <v>27</v>
      </c>
      <c r="P240" s="12">
        <v>28</v>
      </c>
      <c r="Q240" s="12">
        <v>27</v>
      </c>
      <c r="R240" s="12">
        <v>28</v>
      </c>
      <c r="S240" s="12">
        <v>28</v>
      </c>
      <c r="T240" s="12">
        <v>27</v>
      </c>
      <c r="U240" s="5">
        <v>331</v>
      </c>
      <c r="V240" s="5" t="s">
        <v>16</v>
      </c>
      <c r="W240" s="13">
        <v>46249</v>
      </c>
      <c r="X240" s="12">
        <v>1986</v>
      </c>
      <c r="Y240" s="12">
        <v>4</v>
      </c>
      <c r="Z240" s="15" t="s">
        <v>536</v>
      </c>
      <c r="AT240" s="4"/>
      <c r="AU240" s="4"/>
      <c r="AV240" s="1"/>
    </row>
    <row r="241" spans="1:48" x14ac:dyDescent="0.3">
      <c r="A241" s="14">
        <v>240</v>
      </c>
      <c r="B241" s="12">
        <v>127040</v>
      </c>
      <c r="C241" s="12" t="s">
        <v>271</v>
      </c>
      <c r="D241" s="12" t="s">
        <v>6</v>
      </c>
      <c r="E241" s="12">
        <v>32</v>
      </c>
      <c r="F241" s="12" t="s">
        <v>556</v>
      </c>
      <c r="G241" s="12" t="s">
        <v>35</v>
      </c>
      <c r="H241" s="12" t="s">
        <v>31</v>
      </c>
      <c r="I241" s="12">
        <v>28</v>
      </c>
      <c r="J241" s="12">
        <v>27</v>
      </c>
      <c r="K241" s="12">
        <v>27</v>
      </c>
      <c r="L241" s="12">
        <v>28</v>
      </c>
      <c r="M241" s="12">
        <v>27</v>
      </c>
      <c r="N241" s="12">
        <v>28</v>
      </c>
      <c r="O241" s="12">
        <v>27</v>
      </c>
      <c r="P241" s="12">
        <v>28</v>
      </c>
      <c r="Q241" s="12">
        <v>28</v>
      </c>
      <c r="R241" s="12">
        <v>28</v>
      </c>
      <c r="S241" s="12">
        <v>28</v>
      </c>
      <c r="T241" s="12">
        <v>27</v>
      </c>
      <c r="U241" s="5">
        <v>331</v>
      </c>
      <c r="V241" s="5" t="s">
        <v>9</v>
      </c>
      <c r="W241" s="13">
        <v>46042</v>
      </c>
      <c r="X241" s="12">
        <v>1986</v>
      </c>
      <c r="Y241" s="12">
        <v>5</v>
      </c>
      <c r="Z241" s="15" t="s">
        <v>536</v>
      </c>
      <c r="AT241" s="4"/>
      <c r="AU241" s="4"/>
      <c r="AV241" s="1"/>
    </row>
    <row r="242" spans="1:48" x14ac:dyDescent="0.3">
      <c r="A242" s="14">
        <v>241</v>
      </c>
      <c r="B242" s="12">
        <v>127041</v>
      </c>
      <c r="C242" s="12" t="s">
        <v>272</v>
      </c>
      <c r="D242" s="12" t="s">
        <v>6</v>
      </c>
      <c r="E242" s="12">
        <v>25</v>
      </c>
      <c r="F242" s="12" t="s">
        <v>555</v>
      </c>
      <c r="G242" s="12" t="s">
        <v>38</v>
      </c>
      <c r="H242" s="12" t="s">
        <v>31</v>
      </c>
      <c r="I242" s="12">
        <v>27</v>
      </c>
      <c r="J242" s="12">
        <v>28</v>
      </c>
      <c r="K242" s="12">
        <v>28</v>
      </c>
      <c r="L242" s="12">
        <v>27</v>
      </c>
      <c r="M242" s="12">
        <v>28</v>
      </c>
      <c r="N242" s="12">
        <v>28</v>
      </c>
      <c r="O242" s="12">
        <v>27</v>
      </c>
      <c r="P242" s="12">
        <v>28</v>
      </c>
      <c r="Q242" s="12">
        <v>27</v>
      </c>
      <c r="R242" s="12">
        <v>28</v>
      </c>
      <c r="S242" s="12">
        <v>27</v>
      </c>
      <c r="T242" s="12">
        <v>28</v>
      </c>
      <c r="U242" s="5">
        <v>331</v>
      </c>
      <c r="V242" s="5" t="s">
        <v>14</v>
      </c>
      <c r="W242" s="13">
        <v>46197</v>
      </c>
      <c r="X242" s="12">
        <v>1986</v>
      </c>
      <c r="Y242" s="12">
        <v>4</v>
      </c>
      <c r="Z242" s="15" t="s">
        <v>535</v>
      </c>
      <c r="AT242" s="4"/>
      <c r="AU242" s="4"/>
      <c r="AV242" s="1"/>
    </row>
    <row r="243" spans="1:48" x14ac:dyDescent="0.3">
      <c r="A243" s="14">
        <v>242</v>
      </c>
      <c r="B243" s="12">
        <v>127042</v>
      </c>
      <c r="C243" s="12" t="s">
        <v>273</v>
      </c>
      <c r="D243" s="12" t="s">
        <v>6</v>
      </c>
      <c r="E243" s="12">
        <v>38</v>
      </c>
      <c r="F243" s="12" t="s">
        <v>557</v>
      </c>
      <c r="G243" s="12" t="s">
        <v>25</v>
      </c>
      <c r="H243" s="12" t="s">
        <v>26</v>
      </c>
      <c r="I243" s="12">
        <v>28</v>
      </c>
      <c r="J243" s="12">
        <v>27</v>
      </c>
      <c r="K243" s="12">
        <v>27</v>
      </c>
      <c r="L243" s="12">
        <v>27</v>
      </c>
      <c r="M243" s="12">
        <v>28</v>
      </c>
      <c r="N243" s="12">
        <v>27</v>
      </c>
      <c r="O243" s="12">
        <v>28</v>
      </c>
      <c r="P243" s="12">
        <v>27</v>
      </c>
      <c r="Q243" s="12">
        <v>27</v>
      </c>
      <c r="R243" s="12">
        <v>28</v>
      </c>
      <c r="S243" s="12">
        <v>28</v>
      </c>
      <c r="T243" s="12">
        <v>27</v>
      </c>
      <c r="U243" s="5">
        <v>329</v>
      </c>
      <c r="V243" s="5" t="s">
        <v>11</v>
      </c>
      <c r="W243" s="13">
        <v>46099</v>
      </c>
      <c r="X243" s="12">
        <v>1974</v>
      </c>
      <c r="Y243" s="12">
        <v>4</v>
      </c>
      <c r="Z243" s="15" t="s">
        <v>536</v>
      </c>
      <c r="AT243" s="4"/>
      <c r="AU243" s="4"/>
      <c r="AV243" s="1"/>
    </row>
    <row r="244" spans="1:48" x14ac:dyDescent="0.3">
      <c r="A244" s="14">
        <v>243</v>
      </c>
      <c r="B244" s="12">
        <v>127043</v>
      </c>
      <c r="C244" s="12" t="s">
        <v>274</v>
      </c>
      <c r="D244" s="12" t="s">
        <v>6</v>
      </c>
      <c r="E244" s="12">
        <v>19</v>
      </c>
      <c r="F244" s="12" t="s">
        <v>555</v>
      </c>
      <c r="G244" s="12" t="s">
        <v>38</v>
      </c>
      <c r="H244" s="12" t="s">
        <v>28</v>
      </c>
      <c r="I244" s="12">
        <v>28</v>
      </c>
      <c r="J244" s="12">
        <v>27</v>
      </c>
      <c r="K244" s="12">
        <v>27</v>
      </c>
      <c r="L244" s="12">
        <v>27</v>
      </c>
      <c r="M244" s="12">
        <v>27</v>
      </c>
      <c r="N244" s="12">
        <v>27</v>
      </c>
      <c r="O244" s="12">
        <v>28</v>
      </c>
      <c r="P244" s="12">
        <v>27</v>
      </c>
      <c r="Q244" s="12">
        <v>27</v>
      </c>
      <c r="R244" s="12">
        <v>27</v>
      </c>
      <c r="S244" s="12">
        <v>27</v>
      </c>
      <c r="T244" s="12">
        <v>28</v>
      </c>
      <c r="U244" s="5">
        <v>327</v>
      </c>
      <c r="V244" s="5" t="s">
        <v>17</v>
      </c>
      <c r="W244" s="13">
        <v>46267</v>
      </c>
      <c r="X244" s="12">
        <v>1962</v>
      </c>
      <c r="Y244" s="12">
        <v>5</v>
      </c>
      <c r="Z244" s="15" t="s">
        <v>536</v>
      </c>
      <c r="AT244" s="4"/>
      <c r="AU244" s="4"/>
      <c r="AV244" s="1"/>
    </row>
    <row r="245" spans="1:48" x14ac:dyDescent="0.3">
      <c r="A245" s="14">
        <v>244</v>
      </c>
      <c r="B245" s="12">
        <v>127044</v>
      </c>
      <c r="C245" s="12" t="s">
        <v>275</v>
      </c>
      <c r="D245" s="12" t="s">
        <v>7</v>
      </c>
      <c r="E245" s="12">
        <v>31</v>
      </c>
      <c r="F245" s="12" t="s">
        <v>556</v>
      </c>
      <c r="G245" s="12" t="s">
        <v>45</v>
      </c>
      <c r="H245" s="12" t="s">
        <v>26</v>
      </c>
      <c r="I245" s="12">
        <v>27</v>
      </c>
      <c r="J245" s="12">
        <v>27</v>
      </c>
      <c r="K245" s="12">
        <v>27</v>
      </c>
      <c r="L245" s="12">
        <v>28</v>
      </c>
      <c r="M245" s="12">
        <v>28</v>
      </c>
      <c r="N245" s="12">
        <v>27</v>
      </c>
      <c r="O245" s="12">
        <v>27</v>
      </c>
      <c r="P245" s="12">
        <v>28</v>
      </c>
      <c r="Q245" s="12">
        <v>27</v>
      </c>
      <c r="R245" s="12">
        <v>27</v>
      </c>
      <c r="S245" s="12">
        <v>27</v>
      </c>
      <c r="T245" s="12">
        <v>28</v>
      </c>
      <c r="U245" s="5">
        <v>328</v>
      </c>
      <c r="V245" s="5" t="s">
        <v>15</v>
      </c>
      <c r="W245" s="13">
        <v>46209</v>
      </c>
      <c r="X245" s="12">
        <v>1968</v>
      </c>
      <c r="Y245" s="12">
        <v>3</v>
      </c>
      <c r="Z245" s="15" t="s">
        <v>536</v>
      </c>
      <c r="AT245" s="4"/>
      <c r="AU245" s="4"/>
      <c r="AV245" s="1"/>
    </row>
    <row r="246" spans="1:48" x14ac:dyDescent="0.3">
      <c r="A246" s="14">
        <v>245</v>
      </c>
      <c r="B246" s="12">
        <v>127045</v>
      </c>
      <c r="C246" s="12" t="s">
        <v>276</v>
      </c>
      <c r="D246" s="12" t="s">
        <v>6</v>
      </c>
      <c r="E246" s="12">
        <v>45</v>
      </c>
      <c r="F246" s="12" t="s">
        <v>557</v>
      </c>
      <c r="G246" s="12" t="s">
        <v>25</v>
      </c>
      <c r="H246" s="12" t="s">
        <v>28</v>
      </c>
      <c r="I246" s="12">
        <v>28</v>
      </c>
      <c r="J246" s="12">
        <v>27</v>
      </c>
      <c r="K246" s="12">
        <v>28</v>
      </c>
      <c r="L246" s="12">
        <v>27</v>
      </c>
      <c r="M246" s="12">
        <v>27</v>
      </c>
      <c r="N246" s="12">
        <v>27</v>
      </c>
      <c r="O246" s="12">
        <v>27</v>
      </c>
      <c r="P246" s="12">
        <v>28</v>
      </c>
      <c r="Q246" s="12">
        <v>28</v>
      </c>
      <c r="R246" s="12">
        <v>28</v>
      </c>
      <c r="S246" s="12">
        <v>27</v>
      </c>
      <c r="T246" s="12">
        <v>27</v>
      </c>
      <c r="U246" s="5">
        <v>329</v>
      </c>
      <c r="V246" s="5" t="s">
        <v>9</v>
      </c>
      <c r="W246" s="13">
        <v>46027</v>
      </c>
      <c r="X246" s="12">
        <v>1974</v>
      </c>
      <c r="Y246" s="12">
        <v>3</v>
      </c>
      <c r="Z246" s="15" t="s">
        <v>536</v>
      </c>
      <c r="AT246" s="4"/>
      <c r="AU246" s="4"/>
      <c r="AV246" s="1"/>
    </row>
    <row r="247" spans="1:48" x14ac:dyDescent="0.3">
      <c r="A247" s="14">
        <v>246</v>
      </c>
      <c r="B247" s="12">
        <v>127046</v>
      </c>
      <c r="C247" s="12" t="s">
        <v>277</v>
      </c>
      <c r="D247" s="12" t="s">
        <v>6</v>
      </c>
      <c r="E247" s="12">
        <v>42</v>
      </c>
      <c r="F247" s="12" t="s">
        <v>557</v>
      </c>
      <c r="G247" s="12" t="s">
        <v>35</v>
      </c>
      <c r="H247" s="12" t="s">
        <v>28</v>
      </c>
      <c r="I247" s="12">
        <v>27</v>
      </c>
      <c r="J247" s="12">
        <v>28</v>
      </c>
      <c r="K247" s="12">
        <v>28</v>
      </c>
      <c r="L247" s="12">
        <v>27</v>
      </c>
      <c r="M247" s="12">
        <v>28</v>
      </c>
      <c r="N247" s="12">
        <v>27</v>
      </c>
      <c r="O247" s="12">
        <v>27</v>
      </c>
      <c r="P247" s="12">
        <v>27</v>
      </c>
      <c r="Q247" s="12">
        <v>27</v>
      </c>
      <c r="R247" s="12">
        <v>28</v>
      </c>
      <c r="S247" s="12">
        <v>28</v>
      </c>
      <c r="T247" s="12">
        <v>28</v>
      </c>
      <c r="U247" s="5">
        <v>330</v>
      </c>
      <c r="V247" s="5" t="s">
        <v>14</v>
      </c>
      <c r="W247" s="13">
        <v>46199</v>
      </c>
      <c r="X247" s="12">
        <v>1980</v>
      </c>
      <c r="Y247" s="12">
        <v>3</v>
      </c>
      <c r="Z247" s="15" t="s">
        <v>535</v>
      </c>
      <c r="AT247" s="4"/>
      <c r="AU247" s="4"/>
      <c r="AV247" s="1"/>
    </row>
    <row r="248" spans="1:48" x14ac:dyDescent="0.3">
      <c r="A248" s="14">
        <v>247</v>
      </c>
      <c r="B248" s="12">
        <v>127047</v>
      </c>
      <c r="C248" s="12" t="s">
        <v>278</v>
      </c>
      <c r="D248" s="12" t="s">
        <v>6</v>
      </c>
      <c r="E248" s="12">
        <v>24</v>
      </c>
      <c r="F248" s="12" t="s">
        <v>555</v>
      </c>
      <c r="G248" s="12" t="s">
        <v>38</v>
      </c>
      <c r="H248" s="12" t="s">
        <v>28</v>
      </c>
      <c r="I248" s="12">
        <v>27</v>
      </c>
      <c r="J248" s="12">
        <v>27</v>
      </c>
      <c r="K248" s="12">
        <v>27</v>
      </c>
      <c r="L248" s="12">
        <v>28</v>
      </c>
      <c r="M248" s="12">
        <v>28</v>
      </c>
      <c r="N248" s="12">
        <v>28</v>
      </c>
      <c r="O248" s="12">
        <v>28</v>
      </c>
      <c r="P248" s="12">
        <v>28</v>
      </c>
      <c r="Q248" s="12">
        <v>27</v>
      </c>
      <c r="R248" s="12">
        <v>28</v>
      </c>
      <c r="S248" s="12">
        <v>28</v>
      </c>
      <c r="T248" s="12">
        <v>28</v>
      </c>
      <c r="U248" s="5">
        <v>332</v>
      </c>
      <c r="V248" s="5" t="s">
        <v>11</v>
      </c>
      <c r="W248" s="13">
        <v>46086</v>
      </c>
      <c r="X248" s="12">
        <v>1992</v>
      </c>
      <c r="Y248" s="12">
        <v>5</v>
      </c>
      <c r="Z248" s="15" t="s">
        <v>536</v>
      </c>
      <c r="AT248" s="4"/>
      <c r="AU248" s="4"/>
      <c r="AV248" s="1"/>
    </row>
    <row r="249" spans="1:48" x14ac:dyDescent="0.3">
      <c r="A249" s="14">
        <v>248</v>
      </c>
      <c r="B249" s="12">
        <v>127048</v>
      </c>
      <c r="C249" s="12" t="s">
        <v>279</v>
      </c>
      <c r="D249" s="12" t="s">
        <v>7</v>
      </c>
      <c r="E249" s="12">
        <v>20</v>
      </c>
      <c r="F249" s="12" t="s">
        <v>555</v>
      </c>
      <c r="G249" s="12" t="s">
        <v>35</v>
      </c>
      <c r="H249" s="12" t="s">
        <v>26</v>
      </c>
      <c r="I249" s="12">
        <v>27</v>
      </c>
      <c r="J249" s="12">
        <v>28</v>
      </c>
      <c r="K249" s="12">
        <v>27</v>
      </c>
      <c r="L249" s="12">
        <v>27</v>
      </c>
      <c r="M249" s="12">
        <v>28</v>
      </c>
      <c r="N249" s="12">
        <v>28</v>
      </c>
      <c r="O249" s="12">
        <v>27</v>
      </c>
      <c r="P249" s="12">
        <v>27</v>
      </c>
      <c r="Q249" s="12">
        <v>28</v>
      </c>
      <c r="R249" s="12">
        <v>28</v>
      </c>
      <c r="S249" s="12">
        <v>28</v>
      </c>
      <c r="T249" s="12">
        <v>28</v>
      </c>
      <c r="U249" s="5">
        <v>331</v>
      </c>
      <c r="V249" s="5" t="s">
        <v>16</v>
      </c>
      <c r="W249" s="13">
        <v>46238</v>
      </c>
      <c r="X249" s="12">
        <v>1986</v>
      </c>
      <c r="Y249" s="12">
        <v>3</v>
      </c>
      <c r="Z249" s="15" t="s">
        <v>536</v>
      </c>
      <c r="AT249" s="4"/>
      <c r="AU249" s="4"/>
      <c r="AV249" s="1"/>
    </row>
    <row r="250" spans="1:48" x14ac:dyDescent="0.3">
      <c r="A250" s="14">
        <v>249</v>
      </c>
      <c r="B250" s="12">
        <v>127049</v>
      </c>
      <c r="C250" s="12" t="s">
        <v>280</v>
      </c>
      <c r="D250" s="12" t="s">
        <v>6</v>
      </c>
      <c r="E250" s="12">
        <v>33</v>
      </c>
      <c r="F250" s="12" t="s">
        <v>556</v>
      </c>
      <c r="G250" s="12" t="s">
        <v>30</v>
      </c>
      <c r="H250" s="12" t="s">
        <v>31</v>
      </c>
      <c r="I250" s="12">
        <v>28</v>
      </c>
      <c r="J250" s="12">
        <v>27</v>
      </c>
      <c r="K250" s="12">
        <v>27</v>
      </c>
      <c r="L250" s="12">
        <v>28</v>
      </c>
      <c r="M250" s="12">
        <v>27</v>
      </c>
      <c r="N250" s="12">
        <v>27</v>
      </c>
      <c r="O250" s="12">
        <v>28</v>
      </c>
      <c r="P250" s="12">
        <v>28</v>
      </c>
      <c r="Q250" s="12">
        <v>28</v>
      </c>
      <c r="R250" s="12">
        <v>27</v>
      </c>
      <c r="S250" s="12">
        <v>28</v>
      </c>
      <c r="T250" s="12">
        <v>28</v>
      </c>
      <c r="U250" s="5">
        <v>331</v>
      </c>
      <c r="V250" s="5" t="s">
        <v>14</v>
      </c>
      <c r="W250" s="13">
        <v>46179</v>
      </c>
      <c r="X250" s="12">
        <v>1986</v>
      </c>
      <c r="Y250" s="12">
        <v>5</v>
      </c>
      <c r="Z250" s="15" t="s">
        <v>535</v>
      </c>
      <c r="AT250" s="4"/>
      <c r="AU250" s="4"/>
      <c r="AV250" s="1"/>
    </row>
    <row r="251" spans="1:48" x14ac:dyDescent="0.3">
      <c r="A251" s="14">
        <v>250</v>
      </c>
      <c r="B251" s="12">
        <v>127050</v>
      </c>
      <c r="C251" s="12" t="s">
        <v>281</v>
      </c>
      <c r="D251" s="12" t="s">
        <v>7</v>
      </c>
      <c r="E251" s="12">
        <v>37</v>
      </c>
      <c r="F251" s="12" t="s">
        <v>557</v>
      </c>
      <c r="G251" s="12" t="s">
        <v>35</v>
      </c>
      <c r="H251" s="12" t="s">
        <v>31</v>
      </c>
      <c r="I251" s="12">
        <v>28</v>
      </c>
      <c r="J251" s="12">
        <v>28</v>
      </c>
      <c r="K251" s="12">
        <v>28</v>
      </c>
      <c r="L251" s="12">
        <v>27</v>
      </c>
      <c r="M251" s="12">
        <v>27</v>
      </c>
      <c r="N251" s="12">
        <v>28</v>
      </c>
      <c r="O251" s="12">
        <v>28</v>
      </c>
      <c r="P251" s="12">
        <v>27</v>
      </c>
      <c r="Q251" s="12">
        <v>28</v>
      </c>
      <c r="R251" s="12">
        <v>27</v>
      </c>
      <c r="S251" s="12">
        <v>28</v>
      </c>
      <c r="T251" s="12">
        <v>27</v>
      </c>
      <c r="U251" s="5">
        <v>331</v>
      </c>
      <c r="V251" s="5" t="s">
        <v>13</v>
      </c>
      <c r="W251" s="13">
        <v>46151</v>
      </c>
      <c r="X251" s="12">
        <v>1986</v>
      </c>
      <c r="Y251" s="12">
        <v>4</v>
      </c>
      <c r="Z251" s="15" t="s">
        <v>535</v>
      </c>
      <c r="AT251" s="4"/>
      <c r="AU251" s="4"/>
      <c r="AV251" s="1"/>
    </row>
    <row r="252" spans="1:48" x14ac:dyDescent="0.3">
      <c r="A252" s="14">
        <v>251</v>
      </c>
      <c r="B252" s="12">
        <v>127051</v>
      </c>
      <c r="C252" s="12" t="s">
        <v>282</v>
      </c>
      <c r="D252" s="12" t="s">
        <v>7</v>
      </c>
      <c r="E252" s="12">
        <v>38</v>
      </c>
      <c r="F252" s="12" t="s">
        <v>557</v>
      </c>
      <c r="G252" s="12" t="s">
        <v>35</v>
      </c>
      <c r="H252" s="12" t="s">
        <v>28</v>
      </c>
      <c r="I252" s="12">
        <v>27</v>
      </c>
      <c r="J252" s="12">
        <v>27</v>
      </c>
      <c r="K252" s="12">
        <v>28</v>
      </c>
      <c r="L252" s="12">
        <v>27</v>
      </c>
      <c r="M252" s="12">
        <v>28</v>
      </c>
      <c r="N252" s="12">
        <v>28</v>
      </c>
      <c r="O252" s="12">
        <v>28</v>
      </c>
      <c r="P252" s="12">
        <v>27</v>
      </c>
      <c r="Q252" s="12">
        <v>28</v>
      </c>
      <c r="R252" s="12">
        <v>27</v>
      </c>
      <c r="S252" s="12">
        <v>28</v>
      </c>
      <c r="T252" s="12">
        <v>28</v>
      </c>
      <c r="U252" s="5">
        <v>331</v>
      </c>
      <c r="V252" s="5" t="s">
        <v>12</v>
      </c>
      <c r="W252" s="13">
        <v>46142</v>
      </c>
      <c r="X252" s="12">
        <v>1986</v>
      </c>
      <c r="Y252" s="12">
        <v>3</v>
      </c>
      <c r="Z252" s="15" t="s">
        <v>535</v>
      </c>
      <c r="AT252" s="4"/>
      <c r="AU252" s="4"/>
      <c r="AV252" s="1"/>
    </row>
    <row r="253" spans="1:48" x14ac:dyDescent="0.3">
      <c r="A253" s="14">
        <v>252</v>
      </c>
      <c r="B253" s="12">
        <v>127052</v>
      </c>
      <c r="C253" s="12" t="s">
        <v>283</v>
      </c>
      <c r="D253" s="12" t="s">
        <v>6</v>
      </c>
      <c r="E253" s="12">
        <v>34</v>
      </c>
      <c r="F253" s="12" t="s">
        <v>556</v>
      </c>
      <c r="G253" s="12" t="s">
        <v>35</v>
      </c>
      <c r="H253" s="12" t="s">
        <v>26</v>
      </c>
      <c r="I253" s="12">
        <v>27</v>
      </c>
      <c r="J253" s="12">
        <v>27</v>
      </c>
      <c r="K253" s="12">
        <v>27</v>
      </c>
      <c r="L253" s="12">
        <v>27</v>
      </c>
      <c r="M253" s="12">
        <v>28</v>
      </c>
      <c r="N253" s="12">
        <v>27</v>
      </c>
      <c r="O253" s="12">
        <v>27</v>
      </c>
      <c r="P253" s="12">
        <v>28</v>
      </c>
      <c r="Q253" s="12">
        <v>27</v>
      </c>
      <c r="R253" s="12">
        <v>27</v>
      </c>
      <c r="S253" s="12">
        <v>27</v>
      </c>
      <c r="T253" s="12">
        <v>28</v>
      </c>
      <c r="U253" s="5">
        <v>327</v>
      </c>
      <c r="V253" s="5" t="s">
        <v>11</v>
      </c>
      <c r="W253" s="13">
        <v>46098</v>
      </c>
      <c r="X253" s="12">
        <v>1962</v>
      </c>
      <c r="Y253" s="12">
        <v>4</v>
      </c>
      <c r="Z253" s="15" t="s">
        <v>536</v>
      </c>
      <c r="AT253" s="4"/>
      <c r="AU253" s="4"/>
      <c r="AV253" s="1"/>
    </row>
    <row r="254" spans="1:48" x14ac:dyDescent="0.3">
      <c r="A254" s="14">
        <v>253</v>
      </c>
      <c r="B254" s="12">
        <v>127053</v>
      </c>
      <c r="C254" s="12" t="s">
        <v>284</v>
      </c>
      <c r="D254" s="12" t="s">
        <v>6</v>
      </c>
      <c r="E254" s="12">
        <v>21</v>
      </c>
      <c r="F254" s="12" t="s">
        <v>555</v>
      </c>
      <c r="G254" s="12" t="s">
        <v>30</v>
      </c>
      <c r="H254" s="12" t="s">
        <v>28</v>
      </c>
      <c r="I254" s="12">
        <v>27</v>
      </c>
      <c r="J254" s="12">
        <v>28</v>
      </c>
      <c r="K254" s="12">
        <v>28</v>
      </c>
      <c r="L254" s="12">
        <v>27</v>
      </c>
      <c r="M254" s="12">
        <v>27</v>
      </c>
      <c r="N254" s="12">
        <v>28</v>
      </c>
      <c r="O254" s="12">
        <v>27</v>
      </c>
      <c r="P254" s="12">
        <v>28</v>
      </c>
      <c r="Q254" s="12">
        <v>27</v>
      </c>
      <c r="R254" s="12">
        <v>28</v>
      </c>
      <c r="S254" s="12">
        <v>27</v>
      </c>
      <c r="T254" s="12">
        <v>27</v>
      </c>
      <c r="U254" s="5">
        <v>329</v>
      </c>
      <c r="V254" s="5" t="s">
        <v>9</v>
      </c>
      <c r="W254" s="13">
        <v>46048</v>
      </c>
      <c r="X254" s="12">
        <v>1974</v>
      </c>
      <c r="Y254" s="12">
        <v>4</v>
      </c>
      <c r="Z254" s="15" t="s">
        <v>535</v>
      </c>
      <c r="AT254" s="4"/>
      <c r="AU254" s="4"/>
      <c r="AV254" s="1"/>
    </row>
    <row r="255" spans="1:48" x14ac:dyDescent="0.3">
      <c r="A255" s="14">
        <v>254</v>
      </c>
      <c r="B255" s="12">
        <v>127054</v>
      </c>
      <c r="C255" s="12" t="s">
        <v>285</v>
      </c>
      <c r="D255" s="12" t="s">
        <v>6</v>
      </c>
      <c r="E255" s="12">
        <v>22</v>
      </c>
      <c r="F255" s="12" t="s">
        <v>555</v>
      </c>
      <c r="G255" s="12" t="s">
        <v>38</v>
      </c>
      <c r="H255" s="12" t="s">
        <v>26</v>
      </c>
      <c r="I255" s="12">
        <v>28</v>
      </c>
      <c r="J255" s="12">
        <v>27</v>
      </c>
      <c r="K255" s="12">
        <v>28</v>
      </c>
      <c r="L255" s="12">
        <v>27</v>
      </c>
      <c r="M255" s="12">
        <v>28</v>
      </c>
      <c r="N255" s="12">
        <v>28</v>
      </c>
      <c r="O255" s="12">
        <v>28</v>
      </c>
      <c r="P255" s="12">
        <v>27</v>
      </c>
      <c r="Q255" s="12">
        <v>28</v>
      </c>
      <c r="R255" s="12">
        <v>27</v>
      </c>
      <c r="S255" s="12">
        <v>27</v>
      </c>
      <c r="T255" s="12">
        <v>27</v>
      </c>
      <c r="U255" s="5">
        <v>330</v>
      </c>
      <c r="V255" s="5" t="s">
        <v>11</v>
      </c>
      <c r="W255" s="13">
        <v>46101</v>
      </c>
      <c r="X255" s="12">
        <v>1980</v>
      </c>
      <c r="Y255" s="12">
        <v>3</v>
      </c>
      <c r="Z255" s="15" t="s">
        <v>535</v>
      </c>
      <c r="AT255" s="4"/>
      <c r="AU255" s="4"/>
      <c r="AV255" s="1"/>
    </row>
    <row r="256" spans="1:48" x14ac:dyDescent="0.3">
      <c r="A256" s="14">
        <v>255</v>
      </c>
      <c r="B256" s="12">
        <v>127055</v>
      </c>
      <c r="C256" s="12" t="s">
        <v>286</v>
      </c>
      <c r="D256" s="12" t="s">
        <v>6</v>
      </c>
      <c r="E256" s="12">
        <v>43</v>
      </c>
      <c r="F256" s="12" t="s">
        <v>557</v>
      </c>
      <c r="G256" s="12" t="s">
        <v>30</v>
      </c>
      <c r="H256" s="12" t="s">
        <v>31</v>
      </c>
      <c r="I256" s="12">
        <v>27</v>
      </c>
      <c r="J256" s="12">
        <v>27</v>
      </c>
      <c r="K256" s="12">
        <v>27</v>
      </c>
      <c r="L256" s="12">
        <v>28</v>
      </c>
      <c r="M256" s="12">
        <v>27</v>
      </c>
      <c r="N256" s="12">
        <v>28</v>
      </c>
      <c r="O256" s="12">
        <v>27</v>
      </c>
      <c r="P256" s="12">
        <v>28</v>
      </c>
      <c r="Q256" s="12">
        <v>27</v>
      </c>
      <c r="R256" s="12">
        <v>27</v>
      </c>
      <c r="S256" s="12">
        <v>27</v>
      </c>
      <c r="T256" s="12">
        <v>27</v>
      </c>
      <c r="U256" s="5">
        <v>327</v>
      </c>
      <c r="V256" s="5" t="s">
        <v>14</v>
      </c>
      <c r="W256" s="13">
        <v>46194</v>
      </c>
      <c r="X256" s="12">
        <v>1962</v>
      </c>
      <c r="Y256" s="12">
        <v>3</v>
      </c>
      <c r="Z256" s="15" t="s">
        <v>535</v>
      </c>
      <c r="AT256" s="4"/>
      <c r="AU256" s="4"/>
      <c r="AV256" s="1"/>
    </row>
    <row r="257" spans="1:48" x14ac:dyDescent="0.3">
      <c r="A257" s="14">
        <v>256</v>
      </c>
      <c r="B257" s="12">
        <v>127056</v>
      </c>
      <c r="C257" s="12" t="s">
        <v>287</v>
      </c>
      <c r="D257" s="12" t="s">
        <v>6</v>
      </c>
      <c r="E257" s="12">
        <v>27</v>
      </c>
      <c r="F257" s="12" t="s">
        <v>556</v>
      </c>
      <c r="G257" s="12" t="s">
        <v>35</v>
      </c>
      <c r="H257" s="12" t="s">
        <v>26</v>
      </c>
      <c r="I257" s="12">
        <v>28</v>
      </c>
      <c r="J257" s="12">
        <v>27</v>
      </c>
      <c r="K257" s="12">
        <v>27</v>
      </c>
      <c r="L257" s="12">
        <v>27</v>
      </c>
      <c r="M257" s="12">
        <v>27</v>
      </c>
      <c r="N257" s="12">
        <v>27</v>
      </c>
      <c r="O257" s="12">
        <v>28</v>
      </c>
      <c r="P257" s="12">
        <v>27</v>
      </c>
      <c r="Q257" s="12">
        <v>27</v>
      </c>
      <c r="R257" s="12">
        <v>27</v>
      </c>
      <c r="S257" s="12">
        <v>27</v>
      </c>
      <c r="T257" s="12">
        <v>28</v>
      </c>
      <c r="U257" s="5">
        <v>327</v>
      </c>
      <c r="V257" s="5" t="s">
        <v>12</v>
      </c>
      <c r="W257" s="13">
        <v>46136</v>
      </c>
      <c r="X257" s="12">
        <v>1962</v>
      </c>
      <c r="Y257" s="12">
        <v>5</v>
      </c>
      <c r="Z257" s="15" t="s">
        <v>536</v>
      </c>
      <c r="AT257" s="4"/>
      <c r="AU257" s="4"/>
      <c r="AV257" s="1"/>
    </row>
    <row r="258" spans="1:48" x14ac:dyDescent="0.3">
      <c r="A258" s="14">
        <v>257</v>
      </c>
      <c r="B258" s="12">
        <v>127057</v>
      </c>
      <c r="C258" s="12" t="s">
        <v>288</v>
      </c>
      <c r="D258" s="12" t="s">
        <v>6</v>
      </c>
      <c r="E258" s="12">
        <v>36</v>
      </c>
      <c r="F258" s="12" t="s">
        <v>557</v>
      </c>
      <c r="G258" s="12" t="s">
        <v>45</v>
      </c>
      <c r="H258" s="12" t="s">
        <v>31</v>
      </c>
      <c r="I258" s="12">
        <v>28</v>
      </c>
      <c r="J258" s="12">
        <v>27</v>
      </c>
      <c r="K258" s="12">
        <v>28</v>
      </c>
      <c r="L258" s="12">
        <v>27</v>
      </c>
      <c r="M258" s="12">
        <v>27</v>
      </c>
      <c r="N258" s="12">
        <v>28</v>
      </c>
      <c r="O258" s="12">
        <v>28</v>
      </c>
      <c r="P258" s="12">
        <v>28</v>
      </c>
      <c r="Q258" s="12">
        <v>28</v>
      </c>
      <c r="R258" s="12">
        <v>28</v>
      </c>
      <c r="S258" s="12">
        <v>28</v>
      </c>
      <c r="T258" s="12">
        <v>27</v>
      </c>
      <c r="U258" s="5">
        <v>332</v>
      </c>
      <c r="V258" s="5" t="s">
        <v>17</v>
      </c>
      <c r="W258" s="13">
        <v>46295</v>
      </c>
      <c r="X258" s="12">
        <v>1992</v>
      </c>
      <c r="Y258" s="12">
        <v>5</v>
      </c>
      <c r="Z258" s="15" t="s">
        <v>536</v>
      </c>
      <c r="AT258" s="4"/>
      <c r="AU258" s="4"/>
      <c r="AV258" s="1"/>
    </row>
    <row r="259" spans="1:48" x14ac:dyDescent="0.3">
      <c r="A259" s="14">
        <v>258</v>
      </c>
      <c r="B259" s="12">
        <v>127058</v>
      </c>
      <c r="C259" s="12" t="s">
        <v>289</v>
      </c>
      <c r="D259" s="12" t="s">
        <v>6</v>
      </c>
      <c r="E259" s="12">
        <v>48</v>
      </c>
      <c r="F259" s="12" t="s">
        <v>558</v>
      </c>
      <c r="G259" s="12" t="s">
        <v>38</v>
      </c>
      <c r="H259" s="12" t="s">
        <v>26</v>
      </c>
      <c r="I259" s="12">
        <v>28</v>
      </c>
      <c r="J259" s="12">
        <v>28</v>
      </c>
      <c r="K259" s="12">
        <v>28</v>
      </c>
      <c r="L259" s="12">
        <v>28</v>
      </c>
      <c r="M259" s="12">
        <v>27</v>
      </c>
      <c r="N259" s="12">
        <v>28</v>
      </c>
      <c r="O259" s="12">
        <v>28</v>
      </c>
      <c r="P259" s="12">
        <v>28</v>
      </c>
      <c r="Q259" s="12">
        <v>28</v>
      </c>
      <c r="R259" s="12">
        <v>27</v>
      </c>
      <c r="S259" s="12">
        <v>27</v>
      </c>
      <c r="T259" s="12">
        <v>27</v>
      </c>
      <c r="U259" s="5">
        <v>332</v>
      </c>
      <c r="V259" s="5" t="s">
        <v>9</v>
      </c>
      <c r="W259" s="13">
        <v>46028</v>
      </c>
      <c r="X259" s="12">
        <v>1992</v>
      </c>
      <c r="Y259" s="12">
        <v>5</v>
      </c>
      <c r="Z259" s="15" t="s">
        <v>535</v>
      </c>
      <c r="AT259" s="4"/>
      <c r="AU259" s="4"/>
      <c r="AV259" s="1"/>
    </row>
    <row r="260" spans="1:48" x14ac:dyDescent="0.3">
      <c r="A260" s="14">
        <v>259</v>
      </c>
      <c r="B260" s="12">
        <v>127059</v>
      </c>
      <c r="C260" s="12" t="s">
        <v>290</v>
      </c>
      <c r="D260" s="12" t="s">
        <v>7</v>
      </c>
      <c r="E260" s="12">
        <v>27</v>
      </c>
      <c r="F260" s="12" t="s">
        <v>556</v>
      </c>
      <c r="G260" s="12" t="s">
        <v>25</v>
      </c>
      <c r="H260" s="12" t="s">
        <v>26</v>
      </c>
      <c r="I260" s="12">
        <v>27</v>
      </c>
      <c r="J260" s="12">
        <v>27</v>
      </c>
      <c r="K260" s="12">
        <v>27</v>
      </c>
      <c r="L260" s="12">
        <v>28</v>
      </c>
      <c r="M260" s="12">
        <v>27</v>
      </c>
      <c r="N260" s="12">
        <v>27</v>
      </c>
      <c r="O260" s="12">
        <v>27</v>
      </c>
      <c r="P260" s="12">
        <v>27</v>
      </c>
      <c r="Q260" s="12">
        <v>28</v>
      </c>
      <c r="R260" s="12">
        <v>27</v>
      </c>
      <c r="S260" s="12">
        <v>28</v>
      </c>
      <c r="T260" s="12">
        <v>28</v>
      </c>
      <c r="U260" s="5">
        <v>328</v>
      </c>
      <c r="V260" s="5" t="s">
        <v>13</v>
      </c>
      <c r="W260" s="13">
        <v>46143</v>
      </c>
      <c r="X260" s="12">
        <v>1968</v>
      </c>
      <c r="Y260" s="12">
        <v>4</v>
      </c>
      <c r="Z260" s="15" t="s">
        <v>535</v>
      </c>
      <c r="AT260" s="4"/>
      <c r="AU260" s="4"/>
      <c r="AV260" s="1"/>
    </row>
    <row r="261" spans="1:48" x14ac:dyDescent="0.3">
      <c r="A261" s="14">
        <v>260</v>
      </c>
      <c r="B261" s="12">
        <v>127060</v>
      </c>
      <c r="C261" s="12" t="s">
        <v>291</v>
      </c>
      <c r="D261" s="12" t="s">
        <v>7</v>
      </c>
      <c r="E261" s="12">
        <v>46</v>
      </c>
      <c r="F261" s="12" t="s">
        <v>558</v>
      </c>
      <c r="G261" s="12" t="s">
        <v>45</v>
      </c>
      <c r="H261" s="12" t="s">
        <v>26</v>
      </c>
      <c r="I261" s="12">
        <v>27</v>
      </c>
      <c r="J261" s="12">
        <v>28</v>
      </c>
      <c r="K261" s="12">
        <v>28</v>
      </c>
      <c r="L261" s="12">
        <v>28</v>
      </c>
      <c r="M261" s="12">
        <v>28</v>
      </c>
      <c r="N261" s="12">
        <v>28</v>
      </c>
      <c r="O261" s="12">
        <v>28</v>
      </c>
      <c r="P261" s="12">
        <v>28</v>
      </c>
      <c r="Q261" s="12">
        <v>28</v>
      </c>
      <c r="R261" s="12">
        <v>27</v>
      </c>
      <c r="S261" s="12">
        <v>27</v>
      </c>
      <c r="T261" s="12">
        <v>27</v>
      </c>
      <c r="U261" s="5">
        <v>332</v>
      </c>
      <c r="V261" s="5" t="s">
        <v>12</v>
      </c>
      <c r="W261" s="13">
        <v>46125</v>
      </c>
      <c r="X261" s="12">
        <v>1992</v>
      </c>
      <c r="Y261" s="12">
        <v>3</v>
      </c>
      <c r="Z261" s="15" t="s">
        <v>535</v>
      </c>
      <c r="AT261" s="4"/>
      <c r="AU261" s="4"/>
      <c r="AV261" s="1"/>
    </row>
    <row r="262" spans="1:48" x14ac:dyDescent="0.3">
      <c r="A262" s="14">
        <v>261</v>
      </c>
      <c r="B262" s="12">
        <v>127061</v>
      </c>
      <c r="C262" s="12" t="s">
        <v>292</v>
      </c>
      <c r="D262" s="12" t="s">
        <v>6</v>
      </c>
      <c r="E262" s="12">
        <v>32</v>
      </c>
      <c r="F262" s="12" t="s">
        <v>556</v>
      </c>
      <c r="G262" s="12" t="s">
        <v>45</v>
      </c>
      <c r="H262" s="12" t="s">
        <v>28</v>
      </c>
      <c r="I262" s="12">
        <v>28</v>
      </c>
      <c r="J262" s="12">
        <v>28</v>
      </c>
      <c r="K262" s="12">
        <v>27</v>
      </c>
      <c r="L262" s="12">
        <v>28</v>
      </c>
      <c r="M262" s="12">
        <v>27</v>
      </c>
      <c r="N262" s="12">
        <v>27</v>
      </c>
      <c r="O262" s="12">
        <v>27</v>
      </c>
      <c r="P262" s="12">
        <v>27</v>
      </c>
      <c r="Q262" s="12">
        <v>28</v>
      </c>
      <c r="R262" s="12">
        <v>27</v>
      </c>
      <c r="S262" s="12">
        <v>27</v>
      </c>
      <c r="T262" s="12">
        <v>28</v>
      </c>
      <c r="U262" s="5">
        <v>329</v>
      </c>
      <c r="V262" s="5" t="s">
        <v>12</v>
      </c>
      <c r="W262" s="13">
        <v>46132</v>
      </c>
      <c r="X262" s="12">
        <v>1974</v>
      </c>
      <c r="Y262" s="12">
        <v>4</v>
      </c>
      <c r="Z262" s="15" t="s">
        <v>535</v>
      </c>
      <c r="AT262" s="4"/>
      <c r="AU262" s="4"/>
      <c r="AV262" s="1"/>
    </row>
    <row r="263" spans="1:48" x14ac:dyDescent="0.3">
      <c r="A263" s="14">
        <v>262</v>
      </c>
      <c r="B263" s="12">
        <v>127062</v>
      </c>
      <c r="C263" s="12" t="s">
        <v>293</v>
      </c>
      <c r="D263" s="12" t="s">
        <v>6</v>
      </c>
      <c r="E263" s="12">
        <v>38</v>
      </c>
      <c r="F263" s="12" t="s">
        <v>557</v>
      </c>
      <c r="G263" s="12" t="s">
        <v>35</v>
      </c>
      <c r="H263" s="12" t="s">
        <v>26</v>
      </c>
      <c r="I263" s="12">
        <v>27</v>
      </c>
      <c r="J263" s="12">
        <v>27</v>
      </c>
      <c r="K263" s="12">
        <v>27</v>
      </c>
      <c r="L263" s="12">
        <v>28</v>
      </c>
      <c r="M263" s="12">
        <v>27</v>
      </c>
      <c r="N263" s="12">
        <v>28</v>
      </c>
      <c r="O263" s="12">
        <v>28</v>
      </c>
      <c r="P263" s="12">
        <v>27</v>
      </c>
      <c r="Q263" s="12">
        <v>27</v>
      </c>
      <c r="R263" s="12">
        <v>27</v>
      </c>
      <c r="S263" s="12">
        <v>28</v>
      </c>
      <c r="T263" s="12">
        <v>27</v>
      </c>
      <c r="U263" s="5">
        <v>328</v>
      </c>
      <c r="V263" s="5" t="s">
        <v>17</v>
      </c>
      <c r="W263" s="13">
        <v>46276</v>
      </c>
      <c r="X263" s="12">
        <v>1968</v>
      </c>
      <c r="Y263" s="12">
        <v>3</v>
      </c>
      <c r="Z263" s="15" t="s">
        <v>535</v>
      </c>
      <c r="AT263" s="4"/>
      <c r="AU263" s="4"/>
      <c r="AV263" s="1"/>
    </row>
    <row r="264" spans="1:48" x14ac:dyDescent="0.3">
      <c r="A264" s="14">
        <v>263</v>
      </c>
      <c r="B264" s="12">
        <v>127063</v>
      </c>
      <c r="C264" s="12" t="s">
        <v>294</v>
      </c>
      <c r="D264" s="12" t="s">
        <v>6</v>
      </c>
      <c r="E264" s="12">
        <v>48</v>
      </c>
      <c r="F264" s="12" t="s">
        <v>558</v>
      </c>
      <c r="G264" s="12" t="s">
        <v>38</v>
      </c>
      <c r="H264" s="12" t="s">
        <v>26</v>
      </c>
      <c r="I264" s="12">
        <v>28</v>
      </c>
      <c r="J264" s="12">
        <v>27</v>
      </c>
      <c r="K264" s="12">
        <v>27</v>
      </c>
      <c r="L264" s="12">
        <v>28</v>
      </c>
      <c r="M264" s="12">
        <v>28</v>
      </c>
      <c r="N264" s="12">
        <v>28</v>
      </c>
      <c r="O264" s="12">
        <v>27</v>
      </c>
      <c r="P264" s="12">
        <v>28</v>
      </c>
      <c r="Q264" s="12">
        <v>27</v>
      </c>
      <c r="R264" s="12">
        <v>28</v>
      </c>
      <c r="S264" s="12">
        <v>27</v>
      </c>
      <c r="T264" s="12">
        <v>27</v>
      </c>
      <c r="U264" s="5">
        <v>330</v>
      </c>
      <c r="V264" s="5" t="s">
        <v>14</v>
      </c>
      <c r="W264" s="13">
        <v>46203</v>
      </c>
      <c r="X264" s="12">
        <v>1980</v>
      </c>
      <c r="Y264" s="12">
        <v>4</v>
      </c>
      <c r="Z264" s="15" t="s">
        <v>535</v>
      </c>
      <c r="AT264" s="4"/>
      <c r="AU264" s="4"/>
      <c r="AV264" s="1"/>
    </row>
    <row r="265" spans="1:48" x14ac:dyDescent="0.3">
      <c r="A265" s="14">
        <v>264</v>
      </c>
      <c r="B265" s="12">
        <v>127064</v>
      </c>
      <c r="C265" s="12" t="s">
        <v>295</v>
      </c>
      <c r="D265" s="12" t="s">
        <v>6</v>
      </c>
      <c r="E265" s="12">
        <v>25</v>
      </c>
      <c r="F265" s="12" t="s">
        <v>555</v>
      </c>
      <c r="G265" s="12" t="s">
        <v>45</v>
      </c>
      <c r="H265" s="12" t="s">
        <v>28</v>
      </c>
      <c r="I265" s="12">
        <v>27</v>
      </c>
      <c r="J265" s="12">
        <v>28</v>
      </c>
      <c r="K265" s="12">
        <v>28</v>
      </c>
      <c r="L265" s="12">
        <v>28</v>
      </c>
      <c r="M265" s="12">
        <v>28</v>
      </c>
      <c r="N265" s="12">
        <v>28</v>
      </c>
      <c r="O265" s="12">
        <v>28</v>
      </c>
      <c r="P265" s="12">
        <v>28</v>
      </c>
      <c r="Q265" s="12">
        <v>28</v>
      </c>
      <c r="R265" s="12">
        <v>27</v>
      </c>
      <c r="S265" s="12">
        <v>27</v>
      </c>
      <c r="T265" s="12">
        <v>27</v>
      </c>
      <c r="U265" s="5">
        <v>332</v>
      </c>
      <c r="V265" s="5" t="s">
        <v>15</v>
      </c>
      <c r="W265" s="13">
        <v>46207</v>
      </c>
      <c r="X265" s="12">
        <v>1992</v>
      </c>
      <c r="Y265" s="12">
        <v>4</v>
      </c>
      <c r="Z265" s="15" t="s">
        <v>535</v>
      </c>
      <c r="AT265" s="4"/>
      <c r="AU265" s="4"/>
      <c r="AV265" s="1"/>
    </row>
    <row r="266" spans="1:48" x14ac:dyDescent="0.3">
      <c r="A266" s="14">
        <v>265</v>
      </c>
      <c r="B266" s="12">
        <v>127065</v>
      </c>
      <c r="C266" s="12" t="s">
        <v>296</v>
      </c>
      <c r="D266" s="12" t="s">
        <v>6</v>
      </c>
      <c r="E266" s="12">
        <v>28</v>
      </c>
      <c r="F266" s="12" t="s">
        <v>556</v>
      </c>
      <c r="G266" s="12" t="s">
        <v>45</v>
      </c>
      <c r="H266" s="12" t="s">
        <v>31</v>
      </c>
      <c r="I266" s="12">
        <v>27</v>
      </c>
      <c r="J266" s="12">
        <v>28</v>
      </c>
      <c r="K266" s="12">
        <v>27</v>
      </c>
      <c r="L266" s="12">
        <v>27</v>
      </c>
      <c r="M266" s="12">
        <v>27</v>
      </c>
      <c r="N266" s="12">
        <v>27</v>
      </c>
      <c r="O266" s="12">
        <v>27</v>
      </c>
      <c r="P266" s="12">
        <v>27</v>
      </c>
      <c r="Q266" s="12">
        <v>27</v>
      </c>
      <c r="R266" s="12">
        <v>28</v>
      </c>
      <c r="S266" s="12">
        <v>28</v>
      </c>
      <c r="T266" s="12">
        <v>27</v>
      </c>
      <c r="U266" s="5">
        <v>327</v>
      </c>
      <c r="V266" s="5" t="s">
        <v>17</v>
      </c>
      <c r="W266" s="13">
        <v>46294</v>
      </c>
      <c r="X266" s="12">
        <v>1962</v>
      </c>
      <c r="Y266" s="12">
        <v>5</v>
      </c>
      <c r="Z266" s="15" t="s">
        <v>535</v>
      </c>
      <c r="AT266" s="4"/>
      <c r="AU266" s="4"/>
      <c r="AV266" s="1"/>
    </row>
    <row r="267" spans="1:48" x14ac:dyDescent="0.3">
      <c r="A267" s="14">
        <v>266</v>
      </c>
      <c r="B267" s="12">
        <v>127066</v>
      </c>
      <c r="C267" s="12" t="s">
        <v>297</v>
      </c>
      <c r="D267" s="12" t="s">
        <v>7</v>
      </c>
      <c r="E267" s="12">
        <v>29</v>
      </c>
      <c r="F267" s="12" t="s">
        <v>556</v>
      </c>
      <c r="G267" s="12" t="s">
        <v>38</v>
      </c>
      <c r="H267" s="12" t="s">
        <v>26</v>
      </c>
      <c r="I267" s="12">
        <v>27</v>
      </c>
      <c r="J267" s="12">
        <v>28</v>
      </c>
      <c r="K267" s="12">
        <v>27</v>
      </c>
      <c r="L267" s="12">
        <v>27</v>
      </c>
      <c r="M267" s="12">
        <v>28</v>
      </c>
      <c r="N267" s="12">
        <v>28</v>
      </c>
      <c r="O267" s="12">
        <v>27</v>
      </c>
      <c r="P267" s="12">
        <v>28</v>
      </c>
      <c r="Q267" s="12">
        <v>27</v>
      </c>
      <c r="R267" s="12">
        <v>28</v>
      </c>
      <c r="S267" s="12">
        <v>28</v>
      </c>
      <c r="T267" s="12">
        <v>28</v>
      </c>
      <c r="U267" s="5">
        <v>331</v>
      </c>
      <c r="V267" s="5" t="s">
        <v>14</v>
      </c>
      <c r="W267" s="13">
        <v>46191</v>
      </c>
      <c r="X267" s="12">
        <v>1986</v>
      </c>
      <c r="Y267" s="12">
        <v>5</v>
      </c>
      <c r="Z267" s="15" t="s">
        <v>536</v>
      </c>
      <c r="AT267" s="4"/>
      <c r="AU267" s="4"/>
      <c r="AV267" s="1"/>
    </row>
    <row r="268" spans="1:48" x14ac:dyDescent="0.3">
      <c r="A268" s="14">
        <v>267</v>
      </c>
      <c r="B268" s="12">
        <v>127067</v>
      </c>
      <c r="C268" s="12" t="s">
        <v>298</v>
      </c>
      <c r="D268" s="12" t="s">
        <v>6</v>
      </c>
      <c r="E268" s="12">
        <v>29</v>
      </c>
      <c r="F268" s="12" t="s">
        <v>556</v>
      </c>
      <c r="G268" s="12" t="s">
        <v>35</v>
      </c>
      <c r="H268" s="12" t="s">
        <v>26</v>
      </c>
      <c r="I268" s="12">
        <v>28</v>
      </c>
      <c r="J268" s="12">
        <v>28</v>
      </c>
      <c r="K268" s="12">
        <v>27</v>
      </c>
      <c r="L268" s="12">
        <v>27</v>
      </c>
      <c r="M268" s="12">
        <v>28</v>
      </c>
      <c r="N268" s="12">
        <v>27</v>
      </c>
      <c r="O268" s="12">
        <v>27</v>
      </c>
      <c r="P268" s="12">
        <v>27</v>
      </c>
      <c r="Q268" s="12">
        <v>28</v>
      </c>
      <c r="R268" s="12">
        <v>27</v>
      </c>
      <c r="S268" s="12">
        <v>28</v>
      </c>
      <c r="T268" s="12">
        <v>27</v>
      </c>
      <c r="U268" s="5">
        <v>329</v>
      </c>
      <c r="V268" s="5" t="s">
        <v>12</v>
      </c>
      <c r="W268" s="13">
        <v>46118</v>
      </c>
      <c r="X268" s="12">
        <v>1974</v>
      </c>
      <c r="Y268" s="12">
        <v>5</v>
      </c>
      <c r="Z268" s="15" t="s">
        <v>536</v>
      </c>
      <c r="AT268" s="4"/>
      <c r="AU268" s="4"/>
      <c r="AV268" s="1"/>
    </row>
    <row r="269" spans="1:48" x14ac:dyDescent="0.3">
      <c r="A269" s="14">
        <v>268</v>
      </c>
      <c r="B269" s="12">
        <v>127068</v>
      </c>
      <c r="C269" s="12" t="s">
        <v>299</v>
      </c>
      <c r="D269" s="12" t="s">
        <v>6</v>
      </c>
      <c r="E269" s="12">
        <v>43</v>
      </c>
      <c r="F269" s="12" t="s">
        <v>557</v>
      </c>
      <c r="G269" s="12" t="s">
        <v>35</v>
      </c>
      <c r="H269" s="12" t="s">
        <v>26</v>
      </c>
      <c r="I269" s="12">
        <v>27</v>
      </c>
      <c r="J269" s="12">
        <v>27</v>
      </c>
      <c r="K269" s="12">
        <v>27</v>
      </c>
      <c r="L269" s="12">
        <v>28</v>
      </c>
      <c r="M269" s="12">
        <v>27</v>
      </c>
      <c r="N269" s="12">
        <v>28</v>
      </c>
      <c r="O269" s="12">
        <v>27</v>
      </c>
      <c r="P269" s="12">
        <v>28</v>
      </c>
      <c r="Q269" s="12">
        <v>27</v>
      </c>
      <c r="R269" s="12">
        <v>28</v>
      </c>
      <c r="S269" s="12">
        <v>27</v>
      </c>
      <c r="T269" s="12">
        <v>28</v>
      </c>
      <c r="U269" s="5">
        <v>329</v>
      </c>
      <c r="V269" s="5" t="s">
        <v>11</v>
      </c>
      <c r="W269" s="13">
        <v>46106</v>
      </c>
      <c r="X269" s="12">
        <v>1974</v>
      </c>
      <c r="Y269" s="12">
        <v>3</v>
      </c>
      <c r="Z269" s="15" t="s">
        <v>535</v>
      </c>
      <c r="AT269" s="4"/>
      <c r="AU269" s="4"/>
      <c r="AV269" s="1"/>
    </row>
    <row r="270" spans="1:48" x14ac:dyDescent="0.3">
      <c r="A270" s="14">
        <v>269</v>
      </c>
      <c r="B270" s="12">
        <v>127069</v>
      </c>
      <c r="C270" s="12" t="s">
        <v>300</v>
      </c>
      <c r="D270" s="12" t="s">
        <v>6</v>
      </c>
      <c r="E270" s="12">
        <v>36</v>
      </c>
      <c r="F270" s="12" t="s">
        <v>557</v>
      </c>
      <c r="G270" s="12" t="s">
        <v>30</v>
      </c>
      <c r="H270" s="12" t="s">
        <v>26</v>
      </c>
      <c r="I270" s="12">
        <v>28</v>
      </c>
      <c r="J270" s="12">
        <v>27</v>
      </c>
      <c r="K270" s="12">
        <v>27</v>
      </c>
      <c r="L270" s="12">
        <v>28</v>
      </c>
      <c r="M270" s="12">
        <v>28</v>
      </c>
      <c r="N270" s="12">
        <v>28</v>
      </c>
      <c r="O270" s="12">
        <v>27</v>
      </c>
      <c r="P270" s="12">
        <v>27</v>
      </c>
      <c r="Q270" s="12">
        <v>28</v>
      </c>
      <c r="R270" s="12">
        <v>28</v>
      </c>
      <c r="S270" s="12">
        <v>28</v>
      </c>
      <c r="T270" s="12">
        <v>27</v>
      </c>
      <c r="U270" s="5">
        <v>331</v>
      </c>
      <c r="V270" s="5" t="s">
        <v>9</v>
      </c>
      <c r="W270" s="13">
        <v>46042</v>
      </c>
      <c r="X270" s="12">
        <v>1986</v>
      </c>
      <c r="Y270" s="12">
        <v>5</v>
      </c>
      <c r="Z270" s="15" t="s">
        <v>536</v>
      </c>
      <c r="AT270" s="4"/>
      <c r="AU270" s="4"/>
      <c r="AV270" s="1"/>
    </row>
    <row r="271" spans="1:48" x14ac:dyDescent="0.3">
      <c r="A271" s="14">
        <v>270</v>
      </c>
      <c r="B271" s="12">
        <v>127070</v>
      </c>
      <c r="C271" s="12" t="s">
        <v>301</v>
      </c>
      <c r="D271" s="12" t="s">
        <v>7</v>
      </c>
      <c r="E271" s="12">
        <v>25</v>
      </c>
      <c r="F271" s="12" t="s">
        <v>555</v>
      </c>
      <c r="G271" s="12" t="s">
        <v>45</v>
      </c>
      <c r="H271" s="12" t="s">
        <v>28</v>
      </c>
      <c r="I271" s="12">
        <v>27</v>
      </c>
      <c r="J271" s="12">
        <v>28</v>
      </c>
      <c r="K271" s="12">
        <v>28</v>
      </c>
      <c r="L271" s="12">
        <v>28</v>
      </c>
      <c r="M271" s="12">
        <v>27</v>
      </c>
      <c r="N271" s="12">
        <v>27</v>
      </c>
      <c r="O271" s="12">
        <v>27</v>
      </c>
      <c r="P271" s="12">
        <v>28</v>
      </c>
      <c r="Q271" s="12">
        <v>27</v>
      </c>
      <c r="R271" s="12">
        <v>28</v>
      </c>
      <c r="S271" s="12">
        <v>28</v>
      </c>
      <c r="T271" s="12">
        <v>28</v>
      </c>
      <c r="U271" s="5">
        <v>331</v>
      </c>
      <c r="V271" s="5" t="s">
        <v>11</v>
      </c>
      <c r="W271" s="13">
        <v>46083</v>
      </c>
      <c r="X271" s="12">
        <v>1986</v>
      </c>
      <c r="Y271" s="12">
        <v>3</v>
      </c>
      <c r="Z271" s="15" t="s">
        <v>536</v>
      </c>
      <c r="AT271" s="4"/>
      <c r="AU271" s="4"/>
      <c r="AV271" s="1"/>
    </row>
    <row r="272" spans="1:48" x14ac:dyDescent="0.3">
      <c r="A272" s="14">
        <v>271</v>
      </c>
      <c r="B272" s="12">
        <v>127071</v>
      </c>
      <c r="C272" s="12" t="s">
        <v>302</v>
      </c>
      <c r="D272" s="12" t="s">
        <v>6</v>
      </c>
      <c r="E272" s="12">
        <v>46</v>
      </c>
      <c r="F272" s="12" t="s">
        <v>558</v>
      </c>
      <c r="G272" s="12" t="s">
        <v>35</v>
      </c>
      <c r="H272" s="12" t="s">
        <v>28</v>
      </c>
      <c r="I272" s="12">
        <v>27</v>
      </c>
      <c r="J272" s="12">
        <v>28</v>
      </c>
      <c r="K272" s="12">
        <v>28</v>
      </c>
      <c r="L272" s="12">
        <v>27</v>
      </c>
      <c r="M272" s="12">
        <v>28</v>
      </c>
      <c r="N272" s="12">
        <v>27</v>
      </c>
      <c r="O272" s="12">
        <v>27</v>
      </c>
      <c r="P272" s="12">
        <v>28</v>
      </c>
      <c r="Q272" s="12">
        <v>27</v>
      </c>
      <c r="R272" s="12">
        <v>28</v>
      </c>
      <c r="S272" s="12">
        <v>27</v>
      </c>
      <c r="T272" s="12">
        <v>27</v>
      </c>
      <c r="U272" s="5">
        <v>329</v>
      </c>
      <c r="V272" s="5" t="s">
        <v>12</v>
      </c>
      <c r="W272" s="13">
        <v>46140</v>
      </c>
      <c r="X272" s="12">
        <v>1974</v>
      </c>
      <c r="Y272" s="12">
        <v>3</v>
      </c>
      <c r="Z272" s="15" t="s">
        <v>536</v>
      </c>
      <c r="AT272" s="4"/>
      <c r="AU272" s="4"/>
      <c r="AV272" s="1"/>
    </row>
    <row r="273" spans="1:48" x14ac:dyDescent="0.3">
      <c r="A273" s="14">
        <v>272</v>
      </c>
      <c r="B273" s="12">
        <v>127072</v>
      </c>
      <c r="C273" s="12" t="s">
        <v>303</v>
      </c>
      <c r="D273" s="12" t="s">
        <v>7</v>
      </c>
      <c r="E273" s="12">
        <v>35</v>
      </c>
      <c r="F273" s="12" t="s">
        <v>556</v>
      </c>
      <c r="G273" s="12" t="s">
        <v>30</v>
      </c>
      <c r="H273" s="12" t="s">
        <v>28</v>
      </c>
      <c r="I273" s="12">
        <v>27</v>
      </c>
      <c r="J273" s="12">
        <v>28</v>
      </c>
      <c r="K273" s="12">
        <v>28</v>
      </c>
      <c r="L273" s="12">
        <v>27</v>
      </c>
      <c r="M273" s="12">
        <v>28</v>
      </c>
      <c r="N273" s="12">
        <v>27</v>
      </c>
      <c r="O273" s="12">
        <v>27</v>
      </c>
      <c r="P273" s="12">
        <v>28</v>
      </c>
      <c r="Q273" s="12">
        <v>28</v>
      </c>
      <c r="R273" s="12">
        <v>28</v>
      </c>
      <c r="S273" s="12">
        <v>28</v>
      </c>
      <c r="T273" s="12">
        <v>27</v>
      </c>
      <c r="U273" s="5">
        <v>331</v>
      </c>
      <c r="V273" s="5" t="s">
        <v>15</v>
      </c>
      <c r="W273" s="13">
        <v>46227</v>
      </c>
      <c r="X273" s="12">
        <v>1986</v>
      </c>
      <c r="Y273" s="12">
        <v>4</v>
      </c>
      <c r="Z273" s="15" t="s">
        <v>536</v>
      </c>
      <c r="AT273" s="4"/>
      <c r="AU273" s="4"/>
      <c r="AV273" s="1"/>
    </row>
    <row r="274" spans="1:48" x14ac:dyDescent="0.3">
      <c r="A274" s="14">
        <v>273</v>
      </c>
      <c r="B274" s="12">
        <v>127073</v>
      </c>
      <c r="C274" s="12" t="s">
        <v>304</v>
      </c>
      <c r="D274" s="12" t="s">
        <v>7</v>
      </c>
      <c r="E274" s="12">
        <v>24</v>
      </c>
      <c r="F274" s="12" t="s">
        <v>555</v>
      </c>
      <c r="G274" s="12" t="s">
        <v>35</v>
      </c>
      <c r="H274" s="12" t="s">
        <v>26</v>
      </c>
      <c r="I274" s="12">
        <v>28</v>
      </c>
      <c r="J274" s="12">
        <v>28</v>
      </c>
      <c r="K274" s="12">
        <v>28</v>
      </c>
      <c r="L274" s="12">
        <v>28</v>
      </c>
      <c r="M274" s="12">
        <v>27</v>
      </c>
      <c r="N274" s="12">
        <v>27</v>
      </c>
      <c r="O274" s="12">
        <v>28</v>
      </c>
      <c r="P274" s="12">
        <v>28</v>
      </c>
      <c r="Q274" s="12">
        <v>27</v>
      </c>
      <c r="R274" s="12">
        <v>27</v>
      </c>
      <c r="S274" s="12">
        <v>27</v>
      </c>
      <c r="T274" s="12">
        <v>28</v>
      </c>
      <c r="U274" s="5">
        <v>331</v>
      </c>
      <c r="V274" s="5" t="s">
        <v>10</v>
      </c>
      <c r="W274" s="13">
        <v>46074</v>
      </c>
      <c r="X274" s="12">
        <v>1986</v>
      </c>
      <c r="Y274" s="12">
        <v>5</v>
      </c>
      <c r="Z274" s="15" t="s">
        <v>535</v>
      </c>
      <c r="AT274" s="4"/>
      <c r="AU274" s="4"/>
      <c r="AV274" s="1"/>
    </row>
    <row r="275" spans="1:48" x14ac:dyDescent="0.3">
      <c r="A275" s="14">
        <v>274</v>
      </c>
      <c r="B275" s="12">
        <v>127074</v>
      </c>
      <c r="C275" s="12" t="s">
        <v>305</v>
      </c>
      <c r="D275" s="12" t="s">
        <v>6</v>
      </c>
      <c r="E275" s="12">
        <v>36</v>
      </c>
      <c r="F275" s="12" t="s">
        <v>557</v>
      </c>
      <c r="G275" s="12" t="s">
        <v>45</v>
      </c>
      <c r="H275" s="12" t="s">
        <v>28</v>
      </c>
      <c r="I275" s="12">
        <v>28</v>
      </c>
      <c r="J275" s="12">
        <v>28</v>
      </c>
      <c r="K275" s="12">
        <v>27</v>
      </c>
      <c r="L275" s="12">
        <v>27</v>
      </c>
      <c r="M275" s="12">
        <v>28</v>
      </c>
      <c r="N275" s="12">
        <v>28</v>
      </c>
      <c r="O275" s="12">
        <v>28</v>
      </c>
      <c r="P275" s="12">
        <v>27</v>
      </c>
      <c r="Q275" s="12">
        <v>27</v>
      </c>
      <c r="R275" s="12">
        <v>27</v>
      </c>
      <c r="S275" s="12">
        <v>28</v>
      </c>
      <c r="T275" s="12">
        <v>27</v>
      </c>
      <c r="U275" s="5">
        <v>330</v>
      </c>
      <c r="V275" s="5" t="s">
        <v>15</v>
      </c>
      <c r="W275" s="13">
        <v>46232</v>
      </c>
      <c r="X275" s="12">
        <v>1980</v>
      </c>
      <c r="Y275" s="12">
        <v>5</v>
      </c>
      <c r="Z275" s="15" t="s">
        <v>536</v>
      </c>
      <c r="AT275" s="4"/>
      <c r="AU275" s="4"/>
      <c r="AV275" s="1"/>
    </row>
    <row r="276" spans="1:48" x14ac:dyDescent="0.3">
      <c r="A276" s="14">
        <v>275</v>
      </c>
      <c r="B276" s="12">
        <v>127075</v>
      </c>
      <c r="C276" s="12" t="s">
        <v>306</v>
      </c>
      <c r="D276" s="12" t="s">
        <v>6</v>
      </c>
      <c r="E276" s="12">
        <v>29</v>
      </c>
      <c r="F276" s="12" t="s">
        <v>556</v>
      </c>
      <c r="G276" s="12" t="s">
        <v>45</v>
      </c>
      <c r="H276" s="12" t="s">
        <v>28</v>
      </c>
      <c r="I276" s="12">
        <v>28</v>
      </c>
      <c r="J276" s="12">
        <v>27</v>
      </c>
      <c r="K276" s="12">
        <v>28</v>
      </c>
      <c r="L276" s="12">
        <v>27</v>
      </c>
      <c r="M276" s="12">
        <v>27</v>
      </c>
      <c r="N276" s="12">
        <v>28</v>
      </c>
      <c r="O276" s="12">
        <v>28</v>
      </c>
      <c r="P276" s="12">
        <v>28</v>
      </c>
      <c r="Q276" s="12">
        <v>28</v>
      </c>
      <c r="R276" s="12">
        <v>28</v>
      </c>
      <c r="S276" s="12">
        <v>27</v>
      </c>
      <c r="T276" s="12">
        <v>27</v>
      </c>
      <c r="U276" s="5">
        <v>331</v>
      </c>
      <c r="V276" s="5" t="s">
        <v>14</v>
      </c>
      <c r="W276" s="13">
        <v>46183</v>
      </c>
      <c r="X276" s="12">
        <v>1986</v>
      </c>
      <c r="Y276" s="12">
        <v>3</v>
      </c>
      <c r="Z276" s="15" t="s">
        <v>536</v>
      </c>
      <c r="AT276" s="4"/>
      <c r="AU276" s="4"/>
      <c r="AV276" s="1"/>
    </row>
    <row r="277" spans="1:48" x14ac:dyDescent="0.3">
      <c r="A277" s="14">
        <v>276</v>
      </c>
      <c r="B277" s="12">
        <v>127076</v>
      </c>
      <c r="C277" s="12" t="s">
        <v>307</v>
      </c>
      <c r="D277" s="12" t="s">
        <v>6</v>
      </c>
      <c r="E277" s="12">
        <v>49</v>
      </c>
      <c r="F277" s="12" t="s">
        <v>558</v>
      </c>
      <c r="G277" s="12" t="s">
        <v>38</v>
      </c>
      <c r="H277" s="12" t="s">
        <v>26</v>
      </c>
      <c r="I277" s="12">
        <v>28</v>
      </c>
      <c r="J277" s="12">
        <v>28</v>
      </c>
      <c r="K277" s="12">
        <v>27</v>
      </c>
      <c r="L277" s="12">
        <v>28</v>
      </c>
      <c r="M277" s="12">
        <v>28</v>
      </c>
      <c r="N277" s="12">
        <v>27</v>
      </c>
      <c r="O277" s="12">
        <v>28</v>
      </c>
      <c r="P277" s="12">
        <v>27</v>
      </c>
      <c r="Q277" s="12">
        <v>27</v>
      </c>
      <c r="R277" s="12">
        <v>28</v>
      </c>
      <c r="S277" s="12">
        <v>27</v>
      </c>
      <c r="T277" s="12">
        <v>28</v>
      </c>
      <c r="U277" s="5">
        <v>331</v>
      </c>
      <c r="V277" s="5" t="s">
        <v>17</v>
      </c>
      <c r="W277" s="13">
        <v>46293</v>
      </c>
      <c r="X277" s="12">
        <v>1986</v>
      </c>
      <c r="Y277" s="12">
        <v>4</v>
      </c>
      <c r="Z277" s="15" t="s">
        <v>536</v>
      </c>
      <c r="AT277" s="4"/>
      <c r="AU277" s="4"/>
      <c r="AV277" s="1"/>
    </row>
    <row r="278" spans="1:48" x14ac:dyDescent="0.3">
      <c r="A278" s="14">
        <v>277</v>
      </c>
      <c r="B278" s="12">
        <v>127077</v>
      </c>
      <c r="C278" s="12" t="s">
        <v>308</v>
      </c>
      <c r="D278" s="12" t="s">
        <v>6</v>
      </c>
      <c r="E278" s="12">
        <v>24</v>
      </c>
      <c r="F278" s="12" t="s">
        <v>555</v>
      </c>
      <c r="G278" s="12" t="s">
        <v>25</v>
      </c>
      <c r="H278" s="12" t="s">
        <v>28</v>
      </c>
      <c r="I278" s="12">
        <v>28</v>
      </c>
      <c r="J278" s="12">
        <v>27</v>
      </c>
      <c r="K278" s="12">
        <v>28</v>
      </c>
      <c r="L278" s="12">
        <v>28</v>
      </c>
      <c r="M278" s="12">
        <v>27</v>
      </c>
      <c r="N278" s="12">
        <v>27</v>
      </c>
      <c r="O278" s="12">
        <v>27</v>
      </c>
      <c r="P278" s="12">
        <v>27</v>
      </c>
      <c r="Q278" s="12">
        <v>28</v>
      </c>
      <c r="R278" s="12">
        <v>28</v>
      </c>
      <c r="S278" s="12">
        <v>28</v>
      </c>
      <c r="T278" s="12">
        <v>28</v>
      </c>
      <c r="U278" s="5">
        <v>331</v>
      </c>
      <c r="V278" s="5" t="s">
        <v>11</v>
      </c>
      <c r="W278" s="13">
        <v>46106</v>
      </c>
      <c r="X278" s="12">
        <v>1986</v>
      </c>
      <c r="Y278" s="12">
        <v>4</v>
      </c>
      <c r="Z278" s="15" t="s">
        <v>535</v>
      </c>
      <c r="AT278" s="4"/>
      <c r="AU278" s="4"/>
      <c r="AV278" s="1"/>
    </row>
    <row r="279" spans="1:48" x14ac:dyDescent="0.3">
      <c r="A279" s="14">
        <v>278</v>
      </c>
      <c r="B279" s="12">
        <v>127078</v>
      </c>
      <c r="C279" s="12" t="s">
        <v>309</v>
      </c>
      <c r="D279" s="12" t="s">
        <v>6</v>
      </c>
      <c r="E279" s="12">
        <v>22</v>
      </c>
      <c r="F279" s="12" t="s">
        <v>555</v>
      </c>
      <c r="G279" s="12" t="s">
        <v>45</v>
      </c>
      <c r="H279" s="12" t="s">
        <v>28</v>
      </c>
      <c r="I279" s="12">
        <v>27</v>
      </c>
      <c r="J279" s="12">
        <v>28</v>
      </c>
      <c r="K279" s="12">
        <v>28</v>
      </c>
      <c r="L279" s="12">
        <v>27</v>
      </c>
      <c r="M279" s="12">
        <v>27</v>
      </c>
      <c r="N279" s="12">
        <v>28</v>
      </c>
      <c r="O279" s="12">
        <v>28</v>
      </c>
      <c r="P279" s="12">
        <v>27</v>
      </c>
      <c r="Q279" s="12">
        <v>27</v>
      </c>
      <c r="R279" s="12">
        <v>27</v>
      </c>
      <c r="S279" s="12">
        <v>27</v>
      </c>
      <c r="T279" s="12">
        <v>28</v>
      </c>
      <c r="U279" s="5">
        <v>329</v>
      </c>
      <c r="V279" s="5" t="s">
        <v>12</v>
      </c>
      <c r="W279" s="13">
        <v>46127</v>
      </c>
      <c r="X279" s="12">
        <v>1974</v>
      </c>
      <c r="Y279" s="12">
        <v>3</v>
      </c>
      <c r="Z279" s="15" t="s">
        <v>535</v>
      </c>
      <c r="AT279" s="4"/>
      <c r="AU279" s="4"/>
      <c r="AV279" s="1"/>
    </row>
    <row r="280" spans="1:48" x14ac:dyDescent="0.3">
      <c r="A280" s="14">
        <v>279</v>
      </c>
      <c r="B280" s="12">
        <v>127079</v>
      </c>
      <c r="C280" s="12" t="s">
        <v>310</v>
      </c>
      <c r="D280" s="12" t="s">
        <v>6</v>
      </c>
      <c r="E280" s="12">
        <v>34</v>
      </c>
      <c r="F280" s="12" t="s">
        <v>556</v>
      </c>
      <c r="G280" s="12" t="s">
        <v>45</v>
      </c>
      <c r="H280" s="12" t="s">
        <v>26</v>
      </c>
      <c r="I280" s="12">
        <v>27</v>
      </c>
      <c r="J280" s="12">
        <v>27</v>
      </c>
      <c r="K280" s="12">
        <v>27</v>
      </c>
      <c r="L280" s="12">
        <v>27</v>
      </c>
      <c r="M280" s="12">
        <v>27</v>
      </c>
      <c r="N280" s="12">
        <v>28</v>
      </c>
      <c r="O280" s="12">
        <v>28</v>
      </c>
      <c r="P280" s="12">
        <v>27</v>
      </c>
      <c r="Q280" s="12">
        <v>27</v>
      </c>
      <c r="R280" s="12">
        <v>28</v>
      </c>
      <c r="S280" s="12">
        <v>27</v>
      </c>
      <c r="T280" s="12">
        <v>28</v>
      </c>
      <c r="U280" s="5">
        <v>328</v>
      </c>
      <c r="V280" s="5" t="s">
        <v>12</v>
      </c>
      <c r="W280" s="13">
        <v>46119</v>
      </c>
      <c r="X280" s="12">
        <v>1968</v>
      </c>
      <c r="Y280" s="12">
        <v>3</v>
      </c>
      <c r="Z280" s="15" t="s">
        <v>535</v>
      </c>
      <c r="AT280" s="4"/>
      <c r="AU280" s="4"/>
      <c r="AV280" s="1"/>
    </row>
    <row r="281" spans="1:48" x14ac:dyDescent="0.3">
      <c r="A281" s="14">
        <v>280</v>
      </c>
      <c r="B281" s="12">
        <v>127080</v>
      </c>
      <c r="C281" s="12" t="s">
        <v>311</v>
      </c>
      <c r="D281" s="12" t="s">
        <v>6</v>
      </c>
      <c r="E281" s="12">
        <v>46</v>
      </c>
      <c r="F281" s="12" t="s">
        <v>558</v>
      </c>
      <c r="G281" s="12" t="s">
        <v>30</v>
      </c>
      <c r="H281" s="12" t="s">
        <v>28</v>
      </c>
      <c r="I281" s="12">
        <v>28</v>
      </c>
      <c r="J281" s="12">
        <v>27</v>
      </c>
      <c r="K281" s="12">
        <v>28</v>
      </c>
      <c r="L281" s="12">
        <v>28</v>
      </c>
      <c r="M281" s="12">
        <v>27</v>
      </c>
      <c r="N281" s="12">
        <v>27</v>
      </c>
      <c r="O281" s="12">
        <v>28</v>
      </c>
      <c r="P281" s="12">
        <v>28</v>
      </c>
      <c r="Q281" s="12">
        <v>27</v>
      </c>
      <c r="R281" s="12">
        <v>27</v>
      </c>
      <c r="S281" s="12">
        <v>27</v>
      </c>
      <c r="T281" s="12">
        <v>27</v>
      </c>
      <c r="U281" s="5">
        <v>329</v>
      </c>
      <c r="V281" s="5" t="s">
        <v>13</v>
      </c>
      <c r="W281" s="13">
        <v>46158</v>
      </c>
      <c r="X281" s="12">
        <v>1974</v>
      </c>
      <c r="Y281" s="12">
        <v>5</v>
      </c>
      <c r="Z281" s="15" t="s">
        <v>535</v>
      </c>
      <c r="AT281" s="4"/>
      <c r="AU281" s="4"/>
      <c r="AV281" s="1"/>
    </row>
    <row r="282" spans="1:48" x14ac:dyDescent="0.3">
      <c r="A282" s="14">
        <v>281</v>
      </c>
      <c r="B282" s="12">
        <v>127081</v>
      </c>
      <c r="C282" s="12" t="s">
        <v>312</v>
      </c>
      <c r="D282" s="12" t="s">
        <v>7</v>
      </c>
      <c r="E282" s="12">
        <v>18</v>
      </c>
      <c r="F282" s="12" t="s">
        <v>555</v>
      </c>
      <c r="G282" s="12" t="s">
        <v>25</v>
      </c>
      <c r="H282" s="12" t="s">
        <v>31</v>
      </c>
      <c r="I282" s="12">
        <v>28</v>
      </c>
      <c r="J282" s="12">
        <v>27</v>
      </c>
      <c r="K282" s="12">
        <v>28</v>
      </c>
      <c r="L282" s="12">
        <v>27</v>
      </c>
      <c r="M282" s="12">
        <v>27</v>
      </c>
      <c r="N282" s="12">
        <v>27</v>
      </c>
      <c r="O282" s="12">
        <v>27</v>
      </c>
      <c r="P282" s="12">
        <v>28</v>
      </c>
      <c r="Q282" s="12">
        <v>27</v>
      </c>
      <c r="R282" s="12">
        <v>28</v>
      </c>
      <c r="S282" s="12">
        <v>28</v>
      </c>
      <c r="T282" s="12">
        <v>27</v>
      </c>
      <c r="U282" s="5">
        <v>329</v>
      </c>
      <c r="V282" s="5" t="s">
        <v>12</v>
      </c>
      <c r="W282" s="13">
        <v>46129</v>
      </c>
      <c r="X282" s="12">
        <v>1974</v>
      </c>
      <c r="Y282" s="12">
        <v>5</v>
      </c>
      <c r="Z282" s="15" t="s">
        <v>535</v>
      </c>
      <c r="AT282" s="4"/>
      <c r="AU282" s="4"/>
      <c r="AV282" s="1"/>
    </row>
    <row r="283" spans="1:48" x14ac:dyDescent="0.3">
      <c r="A283" s="14">
        <v>282</v>
      </c>
      <c r="B283" s="12">
        <v>127082</v>
      </c>
      <c r="C283" s="12" t="s">
        <v>313</v>
      </c>
      <c r="D283" s="12" t="s">
        <v>7</v>
      </c>
      <c r="E283" s="12">
        <v>39</v>
      </c>
      <c r="F283" s="12" t="s">
        <v>557</v>
      </c>
      <c r="G283" s="12" t="s">
        <v>38</v>
      </c>
      <c r="H283" s="12" t="s">
        <v>28</v>
      </c>
      <c r="I283" s="12">
        <v>28</v>
      </c>
      <c r="J283" s="12">
        <v>28</v>
      </c>
      <c r="K283" s="12">
        <v>28</v>
      </c>
      <c r="L283" s="12">
        <v>27</v>
      </c>
      <c r="M283" s="12">
        <v>27</v>
      </c>
      <c r="N283" s="12">
        <v>27</v>
      </c>
      <c r="O283" s="12">
        <v>27</v>
      </c>
      <c r="P283" s="12">
        <v>28</v>
      </c>
      <c r="Q283" s="12">
        <v>28</v>
      </c>
      <c r="R283" s="12">
        <v>28</v>
      </c>
      <c r="S283" s="12">
        <v>27</v>
      </c>
      <c r="T283" s="12">
        <v>27</v>
      </c>
      <c r="U283" s="5">
        <v>330</v>
      </c>
      <c r="V283" s="5" t="s">
        <v>10</v>
      </c>
      <c r="W283" s="13">
        <v>46057</v>
      </c>
      <c r="X283" s="12">
        <v>1980</v>
      </c>
      <c r="Y283" s="12">
        <v>3</v>
      </c>
      <c r="Z283" s="15" t="s">
        <v>536</v>
      </c>
      <c r="AT283" s="4"/>
      <c r="AU283" s="4"/>
      <c r="AV283" s="1"/>
    </row>
    <row r="284" spans="1:48" x14ac:dyDescent="0.3">
      <c r="A284" s="14">
        <v>283</v>
      </c>
      <c r="B284" s="12">
        <v>127083</v>
      </c>
      <c r="C284" s="12" t="s">
        <v>314</v>
      </c>
      <c r="D284" s="12" t="s">
        <v>6</v>
      </c>
      <c r="E284" s="12">
        <v>37</v>
      </c>
      <c r="F284" s="12" t="s">
        <v>557</v>
      </c>
      <c r="G284" s="12" t="s">
        <v>38</v>
      </c>
      <c r="H284" s="12" t="s">
        <v>28</v>
      </c>
      <c r="I284" s="12">
        <v>28</v>
      </c>
      <c r="J284" s="12">
        <v>28</v>
      </c>
      <c r="K284" s="12">
        <v>27</v>
      </c>
      <c r="L284" s="12">
        <v>28</v>
      </c>
      <c r="M284" s="12">
        <v>27</v>
      </c>
      <c r="N284" s="12">
        <v>27</v>
      </c>
      <c r="O284" s="12">
        <v>28</v>
      </c>
      <c r="P284" s="12">
        <v>28</v>
      </c>
      <c r="Q284" s="12">
        <v>28</v>
      </c>
      <c r="R284" s="12">
        <v>27</v>
      </c>
      <c r="S284" s="12">
        <v>27</v>
      </c>
      <c r="T284" s="12">
        <v>27</v>
      </c>
      <c r="U284" s="5">
        <v>330</v>
      </c>
      <c r="V284" s="5" t="s">
        <v>15</v>
      </c>
      <c r="W284" s="13">
        <v>46225</v>
      </c>
      <c r="X284" s="12">
        <v>1980</v>
      </c>
      <c r="Y284" s="12">
        <v>4</v>
      </c>
      <c r="Z284" s="15" t="s">
        <v>535</v>
      </c>
      <c r="AT284" s="4"/>
      <c r="AU284" s="4"/>
      <c r="AV284" s="1"/>
    </row>
    <row r="285" spans="1:48" x14ac:dyDescent="0.3">
      <c r="A285" s="14">
        <v>284</v>
      </c>
      <c r="B285" s="12">
        <v>127084</v>
      </c>
      <c r="C285" s="12" t="s">
        <v>315</v>
      </c>
      <c r="D285" s="12" t="s">
        <v>6</v>
      </c>
      <c r="E285" s="12">
        <v>35</v>
      </c>
      <c r="F285" s="12" t="s">
        <v>556</v>
      </c>
      <c r="G285" s="12" t="s">
        <v>45</v>
      </c>
      <c r="H285" s="12" t="s">
        <v>26</v>
      </c>
      <c r="I285" s="12">
        <v>27</v>
      </c>
      <c r="J285" s="12">
        <v>27</v>
      </c>
      <c r="K285" s="12">
        <v>28</v>
      </c>
      <c r="L285" s="12">
        <v>28</v>
      </c>
      <c r="M285" s="12">
        <v>27</v>
      </c>
      <c r="N285" s="12">
        <v>28</v>
      </c>
      <c r="O285" s="12">
        <v>27</v>
      </c>
      <c r="P285" s="12">
        <v>27</v>
      </c>
      <c r="Q285" s="12">
        <v>27</v>
      </c>
      <c r="R285" s="12">
        <v>28</v>
      </c>
      <c r="S285" s="12">
        <v>27</v>
      </c>
      <c r="T285" s="12">
        <v>27</v>
      </c>
      <c r="U285" s="5">
        <v>328</v>
      </c>
      <c r="V285" s="5" t="s">
        <v>9</v>
      </c>
      <c r="W285" s="13">
        <v>46034</v>
      </c>
      <c r="X285" s="12">
        <v>1968</v>
      </c>
      <c r="Y285" s="12">
        <v>5</v>
      </c>
      <c r="Z285" s="15" t="s">
        <v>535</v>
      </c>
      <c r="AT285" s="4"/>
      <c r="AU285" s="4"/>
      <c r="AV285" s="1"/>
    </row>
    <row r="286" spans="1:48" x14ac:dyDescent="0.3">
      <c r="A286" s="14">
        <v>285</v>
      </c>
      <c r="B286" s="12">
        <v>127085</v>
      </c>
      <c r="C286" s="12" t="s">
        <v>316</v>
      </c>
      <c r="D286" s="12" t="s">
        <v>6</v>
      </c>
      <c r="E286" s="12">
        <v>41</v>
      </c>
      <c r="F286" s="12" t="s">
        <v>557</v>
      </c>
      <c r="G286" s="12" t="s">
        <v>45</v>
      </c>
      <c r="H286" s="12" t="s">
        <v>28</v>
      </c>
      <c r="I286" s="12">
        <v>28</v>
      </c>
      <c r="J286" s="12">
        <v>28</v>
      </c>
      <c r="K286" s="12">
        <v>28</v>
      </c>
      <c r="L286" s="12">
        <v>27</v>
      </c>
      <c r="M286" s="12">
        <v>27</v>
      </c>
      <c r="N286" s="12">
        <v>28</v>
      </c>
      <c r="O286" s="12">
        <v>27</v>
      </c>
      <c r="P286" s="12">
        <v>27</v>
      </c>
      <c r="Q286" s="12">
        <v>27</v>
      </c>
      <c r="R286" s="12">
        <v>27</v>
      </c>
      <c r="S286" s="12">
        <v>28</v>
      </c>
      <c r="T286" s="12">
        <v>27</v>
      </c>
      <c r="U286" s="5">
        <v>329</v>
      </c>
      <c r="V286" s="5" t="s">
        <v>16</v>
      </c>
      <c r="W286" s="13">
        <v>46248</v>
      </c>
      <c r="X286" s="12">
        <v>1974</v>
      </c>
      <c r="Y286" s="12">
        <v>5</v>
      </c>
      <c r="Z286" s="15" t="s">
        <v>536</v>
      </c>
      <c r="AT286" s="4"/>
      <c r="AU286" s="4"/>
      <c r="AV286" s="1"/>
    </row>
    <row r="287" spans="1:48" x14ac:dyDescent="0.3">
      <c r="A287" s="14">
        <v>286</v>
      </c>
      <c r="B287" s="12">
        <v>127086</v>
      </c>
      <c r="C287" s="12" t="s">
        <v>317</v>
      </c>
      <c r="D287" s="12" t="s">
        <v>6</v>
      </c>
      <c r="E287" s="12">
        <v>22</v>
      </c>
      <c r="F287" s="12" t="s">
        <v>555</v>
      </c>
      <c r="G287" s="12" t="s">
        <v>45</v>
      </c>
      <c r="H287" s="12" t="s">
        <v>31</v>
      </c>
      <c r="I287" s="12">
        <v>28</v>
      </c>
      <c r="J287" s="12">
        <v>27</v>
      </c>
      <c r="K287" s="12">
        <v>27</v>
      </c>
      <c r="L287" s="12">
        <v>28</v>
      </c>
      <c r="M287" s="12">
        <v>28</v>
      </c>
      <c r="N287" s="12">
        <v>27</v>
      </c>
      <c r="O287" s="12">
        <v>27</v>
      </c>
      <c r="P287" s="12">
        <v>28</v>
      </c>
      <c r="Q287" s="12">
        <v>28</v>
      </c>
      <c r="R287" s="12">
        <v>27</v>
      </c>
      <c r="S287" s="12">
        <v>27</v>
      </c>
      <c r="T287" s="12">
        <v>27</v>
      </c>
      <c r="U287" s="5">
        <v>329</v>
      </c>
      <c r="V287" s="5" t="s">
        <v>15</v>
      </c>
      <c r="W287" s="13">
        <v>46218</v>
      </c>
      <c r="X287" s="12">
        <v>1974</v>
      </c>
      <c r="Y287" s="12">
        <v>3</v>
      </c>
      <c r="Z287" s="15" t="s">
        <v>535</v>
      </c>
      <c r="AT287" s="4"/>
      <c r="AU287" s="4"/>
      <c r="AV287" s="1"/>
    </row>
    <row r="288" spans="1:48" x14ac:dyDescent="0.3">
      <c r="A288" s="14">
        <v>287</v>
      </c>
      <c r="B288" s="12">
        <v>127087</v>
      </c>
      <c r="C288" s="12" t="s">
        <v>318</v>
      </c>
      <c r="D288" s="12" t="s">
        <v>6</v>
      </c>
      <c r="E288" s="12">
        <v>23</v>
      </c>
      <c r="F288" s="12" t="s">
        <v>555</v>
      </c>
      <c r="G288" s="12" t="s">
        <v>45</v>
      </c>
      <c r="H288" s="12" t="s">
        <v>31</v>
      </c>
      <c r="I288" s="12">
        <v>27</v>
      </c>
      <c r="J288" s="12">
        <v>27</v>
      </c>
      <c r="K288" s="12">
        <v>27</v>
      </c>
      <c r="L288" s="12">
        <v>27</v>
      </c>
      <c r="M288" s="12">
        <v>27</v>
      </c>
      <c r="N288" s="12">
        <v>28</v>
      </c>
      <c r="O288" s="12">
        <v>27</v>
      </c>
      <c r="P288" s="12">
        <v>28</v>
      </c>
      <c r="Q288" s="12">
        <v>28</v>
      </c>
      <c r="R288" s="12">
        <v>28</v>
      </c>
      <c r="S288" s="12">
        <v>27</v>
      </c>
      <c r="T288" s="12">
        <v>28</v>
      </c>
      <c r="U288" s="5">
        <v>329</v>
      </c>
      <c r="V288" s="5" t="s">
        <v>15</v>
      </c>
      <c r="W288" s="13">
        <v>46229</v>
      </c>
      <c r="X288" s="12">
        <v>1974</v>
      </c>
      <c r="Y288" s="12">
        <v>4</v>
      </c>
      <c r="Z288" s="15" t="s">
        <v>536</v>
      </c>
      <c r="AT288" s="4"/>
      <c r="AU288" s="4"/>
      <c r="AV288" s="1"/>
    </row>
    <row r="289" spans="1:48" x14ac:dyDescent="0.3">
      <c r="A289" s="14">
        <v>288</v>
      </c>
      <c r="B289" s="12">
        <v>127088</v>
      </c>
      <c r="C289" s="12" t="s">
        <v>319</v>
      </c>
      <c r="D289" s="12" t="s">
        <v>7</v>
      </c>
      <c r="E289" s="12">
        <v>36</v>
      </c>
      <c r="F289" s="12" t="s">
        <v>557</v>
      </c>
      <c r="G289" s="12" t="s">
        <v>38</v>
      </c>
      <c r="H289" s="12" t="s">
        <v>31</v>
      </c>
      <c r="I289" s="12">
        <v>28</v>
      </c>
      <c r="J289" s="12">
        <v>28</v>
      </c>
      <c r="K289" s="12">
        <v>27</v>
      </c>
      <c r="L289" s="12">
        <v>28</v>
      </c>
      <c r="M289" s="12">
        <v>27</v>
      </c>
      <c r="N289" s="12">
        <v>27</v>
      </c>
      <c r="O289" s="12">
        <v>28</v>
      </c>
      <c r="P289" s="12">
        <v>28</v>
      </c>
      <c r="Q289" s="12">
        <v>27</v>
      </c>
      <c r="R289" s="12">
        <v>28</v>
      </c>
      <c r="S289" s="12">
        <v>28</v>
      </c>
      <c r="T289" s="12">
        <v>27</v>
      </c>
      <c r="U289" s="5">
        <v>331</v>
      </c>
      <c r="V289" s="5" t="s">
        <v>11</v>
      </c>
      <c r="W289" s="13">
        <v>46089</v>
      </c>
      <c r="X289" s="12">
        <v>1986</v>
      </c>
      <c r="Y289" s="12">
        <v>4</v>
      </c>
      <c r="Z289" s="15" t="s">
        <v>536</v>
      </c>
      <c r="AT289" s="4"/>
      <c r="AU289" s="4"/>
      <c r="AV289" s="1"/>
    </row>
    <row r="290" spans="1:48" x14ac:dyDescent="0.3">
      <c r="A290" s="14">
        <v>289</v>
      </c>
      <c r="B290" s="12">
        <v>127089</v>
      </c>
      <c r="C290" s="12" t="s">
        <v>320</v>
      </c>
      <c r="D290" s="12" t="s">
        <v>6</v>
      </c>
      <c r="E290" s="12">
        <v>24</v>
      </c>
      <c r="F290" s="12" t="s">
        <v>555</v>
      </c>
      <c r="G290" s="12" t="s">
        <v>38</v>
      </c>
      <c r="H290" s="12" t="s">
        <v>28</v>
      </c>
      <c r="I290" s="12">
        <v>28</v>
      </c>
      <c r="J290" s="12">
        <v>27</v>
      </c>
      <c r="K290" s="12">
        <v>27</v>
      </c>
      <c r="L290" s="12">
        <v>27</v>
      </c>
      <c r="M290" s="12">
        <v>27</v>
      </c>
      <c r="N290" s="12">
        <v>27</v>
      </c>
      <c r="O290" s="12">
        <v>28</v>
      </c>
      <c r="P290" s="12">
        <v>28</v>
      </c>
      <c r="Q290" s="12">
        <v>28</v>
      </c>
      <c r="R290" s="12">
        <v>27</v>
      </c>
      <c r="S290" s="12">
        <v>27</v>
      </c>
      <c r="T290" s="12">
        <v>28</v>
      </c>
      <c r="U290" s="5">
        <v>329</v>
      </c>
      <c r="V290" s="5" t="s">
        <v>12</v>
      </c>
      <c r="W290" s="13">
        <v>46141</v>
      </c>
      <c r="X290" s="12">
        <v>1974</v>
      </c>
      <c r="Y290" s="12">
        <v>3</v>
      </c>
      <c r="Z290" s="15" t="s">
        <v>536</v>
      </c>
      <c r="AT290" s="4"/>
      <c r="AU290" s="4"/>
      <c r="AV290" s="1"/>
    </row>
    <row r="291" spans="1:48" x14ac:dyDescent="0.3">
      <c r="A291" s="14">
        <v>290</v>
      </c>
      <c r="B291" s="12">
        <v>127090</v>
      </c>
      <c r="C291" s="12" t="s">
        <v>321</v>
      </c>
      <c r="D291" s="12" t="s">
        <v>6</v>
      </c>
      <c r="E291" s="12">
        <v>41</v>
      </c>
      <c r="F291" s="12" t="s">
        <v>557</v>
      </c>
      <c r="G291" s="12" t="s">
        <v>45</v>
      </c>
      <c r="H291" s="12" t="s">
        <v>31</v>
      </c>
      <c r="I291" s="12">
        <v>27</v>
      </c>
      <c r="J291" s="12">
        <v>27</v>
      </c>
      <c r="K291" s="12">
        <v>27</v>
      </c>
      <c r="L291" s="12">
        <v>27</v>
      </c>
      <c r="M291" s="12">
        <v>28</v>
      </c>
      <c r="N291" s="12">
        <v>27</v>
      </c>
      <c r="O291" s="12">
        <v>28</v>
      </c>
      <c r="P291" s="12">
        <v>28</v>
      </c>
      <c r="Q291" s="12">
        <v>27</v>
      </c>
      <c r="R291" s="12">
        <v>27</v>
      </c>
      <c r="S291" s="12">
        <v>28</v>
      </c>
      <c r="T291" s="12">
        <v>27</v>
      </c>
      <c r="U291" s="5">
        <v>328</v>
      </c>
      <c r="V291" s="5" t="s">
        <v>17</v>
      </c>
      <c r="W291" s="13">
        <v>46273</v>
      </c>
      <c r="X291" s="12">
        <v>1968</v>
      </c>
      <c r="Y291" s="12">
        <v>4</v>
      </c>
      <c r="Z291" s="15" t="s">
        <v>535</v>
      </c>
      <c r="AT291" s="4"/>
      <c r="AU291" s="4"/>
      <c r="AV291" s="1"/>
    </row>
    <row r="292" spans="1:48" x14ac:dyDescent="0.3">
      <c r="A292" s="14">
        <v>291</v>
      </c>
      <c r="B292" s="12">
        <v>127091</v>
      </c>
      <c r="C292" s="12" t="s">
        <v>322</v>
      </c>
      <c r="D292" s="12" t="s">
        <v>6</v>
      </c>
      <c r="E292" s="12">
        <v>26</v>
      </c>
      <c r="F292" s="12" t="s">
        <v>556</v>
      </c>
      <c r="G292" s="12" t="s">
        <v>35</v>
      </c>
      <c r="H292" s="12" t="s">
        <v>26</v>
      </c>
      <c r="I292" s="12">
        <v>28</v>
      </c>
      <c r="J292" s="12">
        <v>28</v>
      </c>
      <c r="K292" s="12">
        <v>27</v>
      </c>
      <c r="L292" s="12">
        <v>27</v>
      </c>
      <c r="M292" s="12">
        <v>27</v>
      </c>
      <c r="N292" s="12">
        <v>28</v>
      </c>
      <c r="O292" s="12">
        <v>28</v>
      </c>
      <c r="P292" s="12">
        <v>27</v>
      </c>
      <c r="Q292" s="12">
        <v>27</v>
      </c>
      <c r="R292" s="12">
        <v>28</v>
      </c>
      <c r="S292" s="12">
        <v>27</v>
      </c>
      <c r="T292" s="12">
        <v>27</v>
      </c>
      <c r="U292" s="5">
        <v>329</v>
      </c>
      <c r="V292" s="5" t="s">
        <v>16</v>
      </c>
      <c r="W292" s="13">
        <v>46255</v>
      </c>
      <c r="X292" s="12">
        <v>1974</v>
      </c>
      <c r="Y292" s="12">
        <v>3</v>
      </c>
      <c r="Z292" s="15" t="s">
        <v>535</v>
      </c>
      <c r="AT292" s="4"/>
      <c r="AU292" s="4"/>
      <c r="AV292" s="1"/>
    </row>
    <row r="293" spans="1:48" x14ac:dyDescent="0.3">
      <c r="A293" s="14">
        <v>292</v>
      </c>
      <c r="B293" s="12">
        <v>127092</v>
      </c>
      <c r="C293" s="12" t="s">
        <v>323</v>
      </c>
      <c r="D293" s="12" t="s">
        <v>7</v>
      </c>
      <c r="E293" s="12">
        <v>18</v>
      </c>
      <c r="F293" s="12" t="s">
        <v>555</v>
      </c>
      <c r="G293" s="12" t="s">
        <v>25</v>
      </c>
      <c r="H293" s="12" t="s">
        <v>31</v>
      </c>
      <c r="I293" s="12">
        <v>27</v>
      </c>
      <c r="J293" s="12">
        <v>27</v>
      </c>
      <c r="K293" s="12">
        <v>27</v>
      </c>
      <c r="L293" s="12">
        <v>27</v>
      </c>
      <c r="M293" s="12">
        <v>28</v>
      </c>
      <c r="N293" s="12">
        <v>27</v>
      </c>
      <c r="O293" s="12">
        <v>28</v>
      </c>
      <c r="P293" s="12">
        <v>27</v>
      </c>
      <c r="Q293" s="12">
        <v>28</v>
      </c>
      <c r="R293" s="12">
        <v>27</v>
      </c>
      <c r="S293" s="12">
        <v>28</v>
      </c>
      <c r="T293" s="12">
        <v>28</v>
      </c>
      <c r="U293" s="5">
        <v>329</v>
      </c>
      <c r="V293" s="5" t="s">
        <v>15</v>
      </c>
      <c r="W293" s="13">
        <v>46230</v>
      </c>
      <c r="X293" s="12">
        <v>1974</v>
      </c>
      <c r="Y293" s="12">
        <v>5</v>
      </c>
      <c r="Z293" s="15" t="s">
        <v>536</v>
      </c>
      <c r="AT293" s="4"/>
      <c r="AU293" s="4"/>
      <c r="AV293" s="1"/>
    </row>
    <row r="294" spans="1:48" x14ac:dyDescent="0.3">
      <c r="A294" s="14">
        <v>293</v>
      </c>
      <c r="B294" s="12">
        <v>127093</v>
      </c>
      <c r="C294" s="12" t="s">
        <v>324</v>
      </c>
      <c r="D294" s="12" t="s">
        <v>6</v>
      </c>
      <c r="E294" s="12">
        <v>40</v>
      </c>
      <c r="F294" s="12" t="s">
        <v>557</v>
      </c>
      <c r="G294" s="12" t="s">
        <v>35</v>
      </c>
      <c r="H294" s="12" t="s">
        <v>31</v>
      </c>
      <c r="I294" s="12">
        <v>27</v>
      </c>
      <c r="J294" s="12">
        <v>28</v>
      </c>
      <c r="K294" s="12">
        <v>28</v>
      </c>
      <c r="L294" s="12">
        <v>27</v>
      </c>
      <c r="M294" s="12">
        <v>27</v>
      </c>
      <c r="N294" s="12">
        <v>28</v>
      </c>
      <c r="O294" s="12">
        <v>28</v>
      </c>
      <c r="P294" s="12">
        <v>28</v>
      </c>
      <c r="Q294" s="12">
        <v>28</v>
      </c>
      <c r="R294" s="12">
        <v>27</v>
      </c>
      <c r="S294" s="12">
        <v>28</v>
      </c>
      <c r="T294" s="12">
        <v>28</v>
      </c>
      <c r="U294" s="5">
        <v>332</v>
      </c>
      <c r="V294" s="5" t="s">
        <v>14</v>
      </c>
      <c r="W294" s="13">
        <v>46174</v>
      </c>
      <c r="X294" s="12">
        <v>1992</v>
      </c>
      <c r="Y294" s="12">
        <v>5</v>
      </c>
      <c r="Z294" s="15" t="s">
        <v>536</v>
      </c>
      <c r="AT294" s="4"/>
      <c r="AU294" s="4"/>
      <c r="AV294" s="1"/>
    </row>
    <row r="295" spans="1:48" x14ac:dyDescent="0.3">
      <c r="A295" s="14">
        <v>294</v>
      </c>
      <c r="B295" s="12">
        <v>127094</v>
      </c>
      <c r="C295" s="12" t="s">
        <v>325</v>
      </c>
      <c r="D295" s="12" t="s">
        <v>7</v>
      </c>
      <c r="E295" s="12">
        <v>33</v>
      </c>
      <c r="F295" s="12" t="s">
        <v>556</v>
      </c>
      <c r="G295" s="12" t="s">
        <v>38</v>
      </c>
      <c r="H295" s="12" t="s">
        <v>26</v>
      </c>
      <c r="I295" s="12">
        <v>28</v>
      </c>
      <c r="J295" s="12">
        <v>28</v>
      </c>
      <c r="K295" s="12">
        <v>28</v>
      </c>
      <c r="L295" s="12">
        <v>27</v>
      </c>
      <c r="M295" s="12">
        <v>28</v>
      </c>
      <c r="N295" s="12">
        <v>27</v>
      </c>
      <c r="O295" s="12">
        <v>28</v>
      </c>
      <c r="P295" s="12">
        <v>28</v>
      </c>
      <c r="Q295" s="12">
        <v>27</v>
      </c>
      <c r="R295" s="12">
        <v>27</v>
      </c>
      <c r="S295" s="12">
        <v>27</v>
      </c>
      <c r="T295" s="12">
        <v>28</v>
      </c>
      <c r="U295" s="5">
        <v>331</v>
      </c>
      <c r="V295" s="5" t="s">
        <v>15</v>
      </c>
      <c r="W295" s="13">
        <v>46233</v>
      </c>
      <c r="X295" s="12">
        <v>1986</v>
      </c>
      <c r="Y295" s="12">
        <v>5</v>
      </c>
      <c r="Z295" s="15" t="s">
        <v>536</v>
      </c>
      <c r="AT295" s="4"/>
      <c r="AU295" s="4"/>
      <c r="AV295" s="1"/>
    </row>
    <row r="296" spans="1:48" x14ac:dyDescent="0.3">
      <c r="A296" s="14">
        <v>295</v>
      </c>
      <c r="B296" s="12">
        <v>127095</v>
      </c>
      <c r="C296" s="12" t="s">
        <v>326</v>
      </c>
      <c r="D296" s="12" t="s">
        <v>7</v>
      </c>
      <c r="E296" s="12">
        <v>21</v>
      </c>
      <c r="F296" s="12" t="s">
        <v>555</v>
      </c>
      <c r="G296" s="12" t="s">
        <v>45</v>
      </c>
      <c r="H296" s="12" t="s">
        <v>26</v>
      </c>
      <c r="I296" s="12">
        <v>28</v>
      </c>
      <c r="J296" s="12">
        <v>27</v>
      </c>
      <c r="K296" s="12">
        <v>28</v>
      </c>
      <c r="L296" s="12">
        <v>27</v>
      </c>
      <c r="M296" s="12">
        <v>28</v>
      </c>
      <c r="N296" s="12">
        <v>28</v>
      </c>
      <c r="O296" s="12">
        <v>27</v>
      </c>
      <c r="P296" s="12">
        <v>27</v>
      </c>
      <c r="Q296" s="12">
        <v>28</v>
      </c>
      <c r="R296" s="12">
        <v>27</v>
      </c>
      <c r="S296" s="12">
        <v>28</v>
      </c>
      <c r="T296" s="12">
        <v>27</v>
      </c>
      <c r="U296" s="5">
        <v>330</v>
      </c>
      <c r="V296" s="5" t="s">
        <v>10</v>
      </c>
      <c r="W296" s="13">
        <v>46079</v>
      </c>
      <c r="X296" s="12">
        <v>1980</v>
      </c>
      <c r="Y296" s="12">
        <v>5</v>
      </c>
      <c r="Z296" s="15" t="s">
        <v>536</v>
      </c>
      <c r="AT296" s="4"/>
      <c r="AU296" s="4"/>
      <c r="AV296" s="1"/>
    </row>
    <row r="297" spans="1:48" x14ac:dyDescent="0.3">
      <c r="A297" s="14">
        <v>296</v>
      </c>
      <c r="B297" s="12">
        <v>127096</v>
      </c>
      <c r="C297" s="12" t="s">
        <v>327</v>
      </c>
      <c r="D297" s="12" t="s">
        <v>6</v>
      </c>
      <c r="E297" s="12">
        <v>19</v>
      </c>
      <c r="F297" s="12" t="s">
        <v>555</v>
      </c>
      <c r="G297" s="12" t="s">
        <v>45</v>
      </c>
      <c r="H297" s="12" t="s">
        <v>28</v>
      </c>
      <c r="I297" s="12">
        <v>27</v>
      </c>
      <c r="J297" s="12">
        <v>27</v>
      </c>
      <c r="K297" s="12">
        <v>27</v>
      </c>
      <c r="L297" s="12">
        <v>27</v>
      </c>
      <c r="M297" s="12">
        <v>27</v>
      </c>
      <c r="N297" s="12">
        <v>27</v>
      </c>
      <c r="O297" s="12">
        <v>27</v>
      </c>
      <c r="P297" s="12">
        <v>28</v>
      </c>
      <c r="Q297" s="12">
        <v>27</v>
      </c>
      <c r="R297" s="12">
        <v>27</v>
      </c>
      <c r="S297" s="12">
        <v>27</v>
      </c>
      <c r="T297" s="12">
        <v>28</v>
      </c>
      <c r="U297" s="5">
        <v>326</v>
      </c>
      <c r="V297" s="5" t="s">
        <v>17</v>
      </c>
      <c r="W297" s="13">
        <v>46280</v>
      </c>
      <c r="X297" s="12">
        <v>1956</v>
      </c>
      <c r="Y297" s="12">
        <v>4</v>
      </c>
      <c r="Z297" s="15" t="s">
        <v>535</v>
      </c>
      <c r="AT297" s="4"/>
      <c r="AU297" s="4"/>
      <c r="AV297" s="1"/>
    </row>
    <row r="298" spans="1:48" x14ac:dyDescent="0.3">
      <c r="A298" s="14">
        <v>297</v>
      </c>
      <c r="B298" s="12">
        <v>127097</v>
      </c>
      <c r="C298" s="12" t="s">
        <v>328</v>
      </c>
      <c r="D298" s="12" t="s">
        <v>6</v>
      </c>
      <c r="E298" s="12">
        <v>19</v>
      </c>
      <c r="F298" s="12" t="s">
        <v>555</v>
      </c>
      <c r="G298" s="12" t="s">
        <v>35</v>
      </c>
      <c r="H298" s="12" t="s">
        <v>31</v>
      </c>
      <c r="I298" s="12">
        <v>27</v>
      </c>
      <c r="J298" s="12">
        <v>28</v>
      </c>
      <c r="K298" s="12">
        <v>27</v>
      </c>
      <c r="L298" s="12">
        <v>27</v>
      </c>
      <c r="M298" s="12">
        <v>27</v>
      </c>
      <c r="N298" s="12">
        <v>28</v>
      </c>
      <c r="O298" s="12">
        <v>27</v>
      </c>
      <c r="P298" s="12">
        <v>27</v>
      </c>
      <c r="Q298" s="12">
        <v>28</v>
      </c>
      <c r="R298" s="12">
        <v>28</v>
      </c>
      <c r="S298" s="12">
        <v>28</v>
      </c>
      <c r="T298" s="12">
        <v>27</v>
      </c>
      <c r="U298" s="5">
        <v>329</v>
      </c>
      <c r="V298" s="5" t="s">
        <v>12</v>
      </c>
      <c r="W298" s="13">
        <v>46122</v>
      </c>
      <c r="X298" s="12">
        <v>1974</v>
      </c>
      <c r="Y298" s="12">
        <v>5</v>
      </c>
      <c r="Z298" s="15" t="s">
        <v>536</v>
      </c>
      <c r="AT298" s="4"/>
      <c r="AU298" s="4"/>
      <c r="AV298" s="1"/>
    </row>
    <row r="299" spans="1:48" x14ac:dyDescent="0.3">
      <c r="A299" s="14">
        <v>298</v>
      </c>
      <c r="B299" s="12">
        <v>127098</v>
      </c>
      <c r="C299" s="12" t="s">
        <v>329</v>
      </c>
      <c r="D299" s="12" t="s">
        <v>6</v>
      </c>
      <c r="E299" s="12">
        <v>50</v>
      </c>
      <c r="F299" s="12" t="s">
        <v>558</v>
      </c>
      <c r="G299" s="12" t="s">
        <v>35</v>
      </c>
      <c r="H299" s="12" t="s">
        <v>31</v>
      </c>
      <c r="I299" s="12">
        <v>27</v>
      </c>
      <c r="J299" s="12">
        <v>27</v>
      </c>
      <c r="K299" s="12">
        <v>27</v>
      </c>
      <c r="L299" s="12">
        <v>28</v>
      </c>
      <c r="M299" s="12">
        <v>28</v>
      </c>
      <c r="N299" s="12">
        <v>27</v>
      </c>
      <c r="O299" s="12">
        <v>27</v>
      </c>
      <c r="P299" s="12">
        <v>27</v>
      </c>
      <c r="Q299" s="12">
        <v>27</v>
      </c>
      <c r="R299" s="12">
        <v>27</v>
      </c>
      <c r="S299" s="12">
        <v>28</v>
      </c>
      <c r="T299" s="12">
        <v>28</v>
      </c>
      <c r="U299" s="5">
        <v>328</v>
      </c>
      <c r="V299" s="5" t="s">
        <v>12</v>
      </c>
      <c r="W299" s="13">
        <v>46123</v>
      </c>
      <c r="X299" s="12">
        <v>1968</v>
      </c>
      <c r="Y299" s="12">
        <v>4</v>
      </c>
      <c r="Z299" s="15" t="s">
        <v>535</v>
      </c>
      <c r="AT299" s="4"/>
      <c r="AU299" s="4"/>
      <c r="AV299" s="1"/>
    </row>
    <row r="300" spans="1:48" x14ac:dyDescent="0.3">
      <c r="A300" s="14">
        <v>299</v>
      </c>
      <c r="B300" s="12">
        <v>127099</v>
      </c>
      <c r="C300" s="12" t="s">
        <v>330</v>
      </c>
      <c r="D300" s="12" t="s">
        <v>6</v>
      </c>
      <c r="E300" s="12">
        <v>36</v>
      </c>
      <c r="F300" s="12" t="s">
        <v>557</v>
      </c>
      <c r="G300" s="12" t="s">
        <v>38</v>
      </c>
      <c r="H300" s="12" t="s">
        <v>26</v>
      </c>
      <c r="I300" s="12">
        <v>27</v>
      </c>
      <c r="J300" s="12">
        <v>28</v>
      </c>
      <c r="K300" s="12">
        <v>27</v>
      </c>
      <c r="L300" s="12">
        <v>27</v>
      </c>
      <c r="M300" s="12">
        <v>27</v>
      </c>
      <c r="N300" s="12">
        <v>28</v>
      </c>
      <c r="O300" s="12">
        <v>28</v>
      </c>
      <c r="P300" s="12">
        <v>27</v>
      </c>
      <c r="Q300" s="12">
        <v>28</v>
      </c>
      <c r="R300" s="12">
        <v>27</v>
      </c>
      <c r="S300" s="12">
        <v>28</v>
      </c>
      <c r="T300" s="12">
        <v>28</v>
      </c>
      <c r="U300" s="5">
        <v>330</v>
      </c>
      <c r="V300" s="5" t="s">
        <v>16</v>
      </c>
      <c r="W300" s="13">
        <v>46256</v>
      </c>
      <c r="X300" s="12">
        <v>1980</v>
      </c>
      <c r="Y300" s="12">
        <v>4</v>
      </c>
      <c r="Z300" s="15" t="s">
        <v>535</v>
      </c>
      <c r="AT300" s="4"/>
      <c r="AU300" s="4"/>
      <c r="AV300" s="1"/>
    </row>
    <row r="301" spans="1:48" x14ac:dyDescent="0.3">
      <c r="A301" s="14">
        <v>300</v>
      </c>
      <c r="B301" s="12">
        <v>127100</v>
      </c>
      <c r="C301" s="12" t="s">
        <v>331</v>
      </c>
      <c r="D301" s="12" t="s">
        <v>6</v>
      </c>
      <c r="E301" s="12">
        <v>21</v>
      </c>
      <c r="F301" s="12" t="s">
        <v>555</v>
      </c>
      <c r="G301" s="12" t="s">
        <v>38</v>
      </c>
      <c r="H301" s="12" t="s">
        <v>28</v>
      </c>
      <c r="I301" s="12">
        <v>28</v>
      </c>
      <c r="J301" s="12">
        <v>27</v>
      </c>
      <c r="K301" s="12">
        <v>28</v>
      </c>
      <c r="L301" s="12">
        <v>27</v>
      </c>
      <c r="M301" s="12">
        <v>28</v>
      </c>
      <c r="N301" s="12">
        <v>28</v>
      </c>
      <c r="O301" s="12">
        <v>28</v>
      </c>
      <c r="P301" s="12">
        <v>27</v>
      </c>
      <c r="Q301" s="12">
        <v>27</v>
      </c>
      <c r="R301" s="12">
        <v>27</v>
      </c>
      <c r="S301" s="12">
        <v>28</v>
      </c>
      <c r="T301" s="12">
        <v>28</v>
      </c>
      <c r="U301" s="5">
        <v>331</v>
      </c>
      <c r="V301" s="5" t="s">
        <v>14</v>
      </c>
      <c r="W301" s="13">
        <v>46186</v>
      </c>
      <c r="X301" s="12">
        <v>1986</v>
      </c>
      <c r="Y301" s="12">
        <v>3</v>
      </c>
      <c r="Z301" s="15" t="s">
        <v>536</v>
      </c>
      <c r="AT301" s="4"/>
      <c r="AU301" s="4"/>
      <c r="AV301" s="1"/>
    </row>
    <row r="302" spans="1:48" x14ac:dyDescent="0.3">
      <c r="A302" s="14">
        <v>301</v>
      </c>
      <c r="B302" s="12">
        <v>127101</v>
      </c>
      <c r="C302" s="12" t="s">
        <v>332</v>
      </c>
      <c r="D302" s="12" t="s">
        <v>6</v>
      </c>
      <c r="E302" s="12">
        <v>23</v>
      </c>
      <c r="F302" s="12" t="s">
        <v>555</v>
      </c>
      <c r="G302" s="12" t="s">
        <v>38</v>
      </c>
      <c r="H302" s="12" t="s">
        <v>31</v>
      </c>
      <c r="I302" s="12">
        <v>27</v>
      </c>
      <c r="J302" s="12">
        <v>27</v>
      </c>
      <c r="K302" s="12">
        <v>27</v>
      </c>
      <c r="L302" s="12">
        <v>27</v>
      </c>
      <c r="M302" s="12">
        <v>27</v>
      </c>
      <c r="N302" s="12">
        <v>27</v>
      </c>
      <c r="O302" s="12">
        <v>28</v>
      </c>
      <c r="P302" s="12">
        <v>28</v>
      </c>
      <c r="Q302" s="12">
        <v>27</v>
      </c>
      <c r="R302" s="12">
        <v>27</v>
      </c>
      <c r="S302" s="12">
        <v>28</v>
      </c>
      <c r="T302" s="12">
        <v>27</v>
      </c>
      <c r="U302" s="5">
        <v>327</v>
      </c>
      <c r="V302" s="5" t="s">
        <v>12</v>
      </c>
      <c r="W302" s="13">
        <v>46131</v>
      </c>
      <c r="X302" s="12">
        <v>1962</v>
      </c>
      <c r="Y302" s="12">
        <v>5</v>
      </c>
      <c r="Z302" s="15" t="s">
        <v>536</v>
      </c>
      <c r="AT302" s="4"/>
      <c r="AU302" s="4"/>
      <c r="AV302" s="1"/>
    </row>
    <row r="303" spans="1:48" x14ac:dyDescent="0.3">
      <c r="A303" s="14">
        <v>302</v>
      </c>
      <c r="B303" s="12">
        <v>127102</v>
      </c>
      <c r="C303" s="12" t="s">
        <v>333</v>
      </c>
      <c r="D303" s="12" t="s">
        <v>6</v>
      </c>
      <c r="E303" s="12">
        <v>28</v>
      </c>
      <c r="F303" s="12" t="s">
        <v>556</v>
      </c>
      <c r="G303" s="12" t="s">
        <v>25</v>
      </c>
      <c r="H303" s="12" t="s">
        <v>31</v>
      </c>
      <c r="I303" s="12">
        <v>28</v>
      </c>
      <c r="J303" s="12">
        <v>28</v>
      </c>
      <c r="K303" s="12">
        <v>28</v>
      </c>
      <c r="L303" s="12">
        <v>28</v>
      </c>
      <c r="M303" s="12">
        <v>27</v>
      </c>
      <c r="N303" s="12">
        <v>28</v>
      </c>
      <c r="O303" s="12">
        <v>28</v>
      </c>
      <c r="P303" s="12">
        <v>28</v>
      </c>
      <c r="Q303" s="12">
        <v>27</v>
      </c>
      <c r="R303" s="12">
        <v>27</v>
      </c>
      <c r="S303" s="12">
        <v>28</v>
      </c>
      <c r="T303" s="12">
        <v>27</v>
      </c>
      <c r="U303" s="5">
        <v>332</v>
      </c>
      <c r="V303" s="5" t="s">
        <v>10</v>
      </c>
      <c r="W303" s="13">
        <v>46063</v>
      </c>
      <c r="X303" s="12">
        <v>1992</v>
      </c>
      <c r="Y303" s="12">
        <v>4</v>
      </c>
      <c r="Z303" s="15" t="s">
        <v>535</v>
      </c>
      <c r="AT303" s="4"/>
      <c r="AU303" s="4"/>
      <c r="AV303" s="1"/>
    </row>
    <row r="304" spans="1:48" x14ac:dyDescent="0.3">
      <c r="A304" s="14">
        <v>303</v>
      </c>
      <c r="B304" s="12">
        <v>127103</v>
      </c>
      <c r="C304" s="12" t="s">
        <v>334</v>
      </c>
      <c r="D304" s="12" t="s">
        <v>6</v>
      </c>
      <c r="E304" s="12">
        <v>39</v>
      </c>
      <c r="F304" s="12" t="s">
        <v>557</v>
      </c>
      <c r="G304" s="12" t="s">
        <v>30</v>
      </c>
      <c r="H304" s="12" t="s">
        <v>31</v>
      </c>
      <c r="I304" s="12">
        <v>28</v>
      </c>
      <c r="J304" s="12">
        <v>28</v>
      </c>
      <c r="K304" s="12">
        <v>28</v>
      </c>
      <c r="L304" s="12">
        <v>27</v>
      </c>
      <c r="M304" s="12">
        <v>27</v>
      </c>
      <c r="N304" s="12">
        <v>28</v>
      </c>
      <c r="O304" s="12">
        <v>28</v>
      </c>
      <c r="P304" s="12">
        <v>28</v>
      </c>
      <c r="Q304" s="12">
        <v>28</v>
      </c>
      <c r="R304" s="12">
        <v>27</v>
      </c>
      <c r="S304" s="12">
        <v>27</v>
      </c>
      <c r="T304" s="12">
        <v>28</v>
      </c>
      <c r="U304" s="5">
        <v>332</v>
      </c>
      <c r="V304" s="5" t="s">
        <v>12</v>
      </c>
      <c r="W304" s="13">
        <v>46122</v>
      </c>
      <c r="X304" s="12">
        <v>1992</v>
      </c>
      <c r="Y304" s="12">
        <v>5</v>
      </c>
      <c r="Z304" s="15" t="s">
        <v>535</v>
      </c>
      <c r="AT304" s="4"/>
      <c r="AU304" s="4"/>
      <c r="AV304" s="1"/>
    </row>
    <row r="305" spans="1:48" x14ac:dyDescent="0.3">
      <c r="A305" s="14">
        <v>304</v>
      </c>
      <c r="B305" s="12">
        <v>127104</v>
      </c>
      <c r="C305" s="12" t="s">
        <v>335</v>
      </c>
      <c r="D305" s="12" t="s">
        <v>7</v>
      </c>
      <c r="E305" s="12">
        <v>29</v>
      </c>
      <c r="F305" s="12" t="s">
        <v>556</v>
      </c>
      <c r="G305" s="12" t="s">
        <v>45</v>
      </c>
      <c r="H305" s="12" t="s">
        <v>31</v>
      </c>
      <c r="I305" s="12">
        <v>28</v>
      </c>
      <c r="J305" s="12">
        <v>27</v>
      </c>
      <c r="K305" s="12">
        <v>28</v>
      </c>
      <c r="L305" s="12">
        <v>27</v>
      </c>
      <c r="M305" s="12">
        <v>27</v>
      </c>
      <c r="N305" s="12">
        <v>27</v>
      </c>
      <c r="O305" s="12">
        <v>28</v>
      </c>
      <c r="P305" s="12">
        <v>28</v>
      </c>
      <c r="Q305" s="12">
        <v>28</v>
      </c>
      <c r="R305" s="12">
        <v>27</v>
      </c>
      <c r="S305" s="12">
        <v>27</v>
      </c>
      <c r="T305" s="12">
        <v>27</v>
      </c>
      <c r="U305" s="5">
        <v>329</v>
      </c>
      <c r="V305" s="5" t="s">
        <v>16</v>
      </c>
      <c r="W305" s="13">
        <v>46241</v>
      </c>
      <c r="X305" s="12">
        <v>1974</v>
      </c>
      <c r="Y305" s="12">
        <v>4</v>
      </c>
      <c r="Z305" s="15" t="s">
        <v>535</v>
      </c>
      <c r="AT305" s="4"/>
      <c r="AU305" s="4"/>
      <c r="AV305" s="1"/>
    </row>
    <row r="306" spans="1:48" x14ac:dyDescent="0.3">
      <c r="A306" s="14">
        <v>305</v>
      </c>
      <c r="B306" s="12">
        <v>127105</v>
      </c>
      <c r="C306" s="12" t="s">
        <v>336</v>
      </c>
      <c r="D306" s="12" t="s">
        <v>6</v>
      </c>
      <c r="E306" s="12">
        <v>32</v>
      </c>
      <c r="F306" s="12" t="s">
        <v>556</v>
      </c>
      <c r="G306" s="12" t="s">
        <v>30</v>
      </c>
      <c r="H306" s="12" t="s">
        <v>31</v>
      </c>
      <c r="I306" s="12">
        <v>28</v>
      </c>
      <c r="J306" s="12">
        <v>28</v>
      </c>
      <c r="K306" s="12">
        <v>28</v>
      </c>
      <c r="L306" s="12">
        <v>27</v>
      </c>
      <c r="M306" s="12">
        <v>27</v>
      </c>
      <c r="N306" s="12">
        <v>28</v>
      </c>
      <c r="O306" s="12">
        <v>28</v>
      </c>
      <c r="P306" s="12">
        <v>27</v>
      </c>
      <c r="Q306" s="12">
        <v>27</v>
      </c>
      <c r="R306" s="12">
        <v>28</v>
      </c>
      <c r="S306" s="12">
        <v>28</v>
      </c>
      <c r="T306" s="12">
        <v>27</v>
      </c>
      <c r="U306" s="5">
        <v>331</v>
      </c>
      <c r="V306" s="5" t="s">
        <v>14</v>
      </c>
      <c r="W306" s="13">
        <v>46189</v>
      </c>
      <c r="X306" s="12">
        <v>1986</v>
      </c>
      <c r="Y306" s="12">
        <v>4</v>
      </c>
      <c r="Z306" s="15" t="s">
        <v>535</v>
      </c>
      <c r="AT306" s="4"/>
      <c r="AU306" s="4"/>
      <c r="AV306" s="1"/>
    </row>
    <row r="307" spans="1:48" x14ac:dyDescent="0.3">
      <c r="A307" s="14">
        <v>306</v>
      </c>
      <c r="B307" s="12">
        <v>127106</v>
      </c>
      <c r="C307" s="12" t="s">
        <v>337</v>
      </c>
      <c r="D307" s="12" t="s">
        <v>7</v>
      </c>
      <c r="E307" s="12">
        <v>32</v>
      </c>
      <c r="F307" s="12" t="s">
        <v>556</v>
      </c>
      <c r="G307" s="12" t="s">
        <v>45</v>
      </c>
      <c r="H307" s="12" t="s">
        <v>28</v>
      </c>
      <c r="I307" s="12">
        <v>28</v>
      </c>
      <c r="J307" s="12">
        <v>27</v>
      </c>
      <c r="K307" s="12">
        <v>27</v>
      </c>
      <c r="L307" s="12">
        <v>27</v>
      </c>
      <c r="M307" s="12">
        <v>28</v>
      </c>
      <c r="N307" s="12">
        <v>28</v>
      </c>
      <c r="O307" s="12">
        <v>27</v>
      </c>
      <c r="P307" s="12">
        <v>27</v>
      </c>
      <c r="Q307" s="12">
        <v>27</v>
      </c>
      <c r="R307" s="12">
        <v>28</v>
      </c>
      <c r="S307" s="12">
        <v>28</v>
      </c>
      <c r="T307" s="12">
        <v>27</v>
      </c>
      <c r="U307" s="5">
        <v>329</v>
      </c>
      <c r="V307" s="5" t="s">
        <v>17</v>
      </c>
      <c r="W307" s="13">
        <v>46270</v>
      </c>
      <c r="X307" s="12">
        <v>1974</v>
      </c>
      <c r="Y307" s="12">
        <v>4</v>
      </c>
      <c r="Z307" s="15" t="s">
        <v>535</v>
      </c>
      <c r="AT307" s="4"/>
      <c r="AU307" s="4"/>
      <c r="AV307" s="1"/>
    </row>
    <row r="308" spans="1:48" x14ac:dyDescent="0.3">
      <c r="A308" s="14">
        <v>307</v>
      </c>
      <c r="B308" s="12">
        <v>127107</v>
      </c>
      <c r="C308" s="12" t="s">
        <v>338</v>
      </c>
      <c r="D308" s="12" t="s">
        <v>7</v>
      </c>
      <c r="E308" s="12">
        <v>21</v>
      </c>
      <c r="F308" s="12" t="s">
        <v>555</v>
      </c>
      <c r="G308" s="12" t="s">
        <v>35</v>
      </c>
      <c r="H308" s="12" t="s">
        <v>26</v>
      </c>
      <c r="I308" s="12">
        <v>27</v>
      </c>
      <c r="J308" s="12">
        <v>27</v>
      </c>
      <c r="K308" s="12">
        <v>27</v>
      </c>
      <c r="L308" s="12">
        <v>27</v>
      </c>
      <c r="M308" s="12">
        <v>28</v>
      </c>
      <c r="N308" s="12">
        <v>28</v>
      </c>
      <c r="O308" s="12">
        <v>27</v>
      </c>
      <c r="P308" s="12">
        <v>28</v>
      </c>
      <c r="Q308" s="12">
        <v>27</v>
      </c>
      <c r="R308" s="12">
        <v>27</v>
      </c>
      <c r="S308" s="12">
        <v>27</v>
      </c>
      <c r="T308" s="12">
        <v>28</v>
      </c>
      <c r="U308" s="5">
        <v>328</v>
      </c>
      <c r="V308" s="5" t="s">
        <v>14</v>
      </c>
      <c r="W308" s="13">
        <v>46189</v>
      </c>
      <c r="X308" s="12">
        <v>1968</v>
      </c>
      <c r="Y308" s="12">
        <v>3</v>
      </c>
      <c r="Z308" s="15" t="s">
        <v>535</v>
      </c>
      <c r="AT308" s="4"/>
      <c r="AU308" s="4"/>
      <c r="AV308" s="1"/>
    </row>
    <row r="309" spans="1:48" x14ac:dyDescent="0.3">
      <c r="A309" s="14">
        <v>308</v>
      </c>
      <c r="B309" s="12">
        <v>127108</v>
      </c>
      <c r="C309" s="12" t="s">
        <v>339</v>
      </c>
      <c r="D309" s="12" t="s">
        <v>6</v>
      </c>
      <c r="E309" s="12">
        <v>25</v>
      </c>
      <c r="F309" s="12" t="s">
        <v>555</v>
      </c>
      <c r="G309" s="12" t="s">
        <v>45</v>
      </c>
      <c r="H309" s="12" t="s">
        <v>31</v>
      </c>
      <c r="I309" s="12">
        <v>27</v>
      </c>
      <c r="J309" s="12">
        <v>28</v>
      </c>
      <c r="K309" s="12">
        <v>28</v>
      </c>
      <c r="L309" s="12">
        <v>28</v>
      </c>
      <c r="M309" s="12">
        <v>27</v>
      </c>
      <c r="N309" s="12">
        <v>28</v>
      </c>
      <c r="O309" s="12">
        <v>28</v>
      </c>
      <c r="P309" s="12">
        <v>27</v>
      </c>
      <c r="Q309" s="12">
        <v>27</v>
      </c>
      <c r="R309" s="12">
        <v>28</v>
      </c>
      <c r="S309" s="12">
        <v>28</v>
      </c>
      <c r="T309" s="12">
        <v>27</v>
      </c>
      <c r="U309" s="5">
        <v>331</v>
      </c>
      <c r="V309" s="5" t="s">
        <v>11</v>
      </c>
      <c r="W309" s="13">
        <v>46090</v>
      </c>
      <c r="X309" s="12">
        <v>1986</v>
      </c>
      <c r="Y309" s="12">
        <v>3</v>
      </c>
      <c r="Z309" s="15" t="s">
        <v>535</v>
      </c>
      <c r="AT309" s="4"/>
      <c r="AU309" s="4"/>
      <c r="AV309" s="1"/>
    </row>
    <row r="310" spans="1:48" x14ac:dyDescent="0.3">
      <c r="A310" s="14">
        <v>309</v>
      </c>
      <c r="B310" s="12">
        <v>127109</v>
      </c>
      <c r="C310" s="12" t="s">
        <v>340</v>
      </c>
      <c r="D310" s="12" t="s">
        <v>6</v>
      </c>
      <c r="E310" s="12">
        <v>20</v>
      </c>
      <c r="F310" s="12" t="s">
        <v>555</v>
      </c>
      <c r="G310" s="12" t="s">
        <v>30</v>
      </c>
      <c r="H310" s="12" t="s">
        <v>26</v>
      </c>
      <c r="I310" s="12">
        <v>28</v>
      </c>
      <c r="J310" s="12">
        <v>27</v>
      </c>
      <c r="K310" s="12">
        <v>28</v>
      </c>
      <c r="L310" s="12">
        <v>27</v>
      </c>
      <c r="M310" s="12">
        <v>28</v>
      </c>
      <c r="N310" s="12">
        <v>27</v>
      </c>
      <c r="O310" s="12">
        <v>27</v>
      </c>
      <c r="P310" s="12">
        <v>27</v>
      </c>
      <c r="Q310" s="12">
        <v>27</v>
      </c>
      <c r="R310" s="12">
        <v>27</v>
      </c>
      <c r="S310" s="12">
        <v>27</v>
      </c>
      <c r="T310" s="12">
        <v>27</v>
      </c>
      <c r="U310" s="5">
        <v>327</v>
      </c>
      <c r="V310" s="5" t="s">
        <v>12</v>
      </c>
      <c r="W310" s="13">
        <v>46118</v>
      </c>
      <c r="X310" s="12">
        <v>1962</v>
      </c>
      <c r="Y310" s="12">
        <v>3</v>
      </c>
      <c r="Z310" s="15" t="s">
        <v>536</v>
      </c>
      <c r="AT310" s="4"/>
      <c r="AU310" s="4"/>
      <c r="AV310" s="1"/>
    </row>
    <row r="311" spans="1:48" x14ac:dyDescent="0.3">
      <c r="A311" s="14">
        <v>310</v>
      </c>
      <c r="B311" s="12">
        <v>127110</v>
      </c>
      <c r="C311" s="12" t="s">
        <v>341</v>
      </c>
      <c r="D311" s="12" t="s">
        <v>6</v>
      </c>
      <c r="E311" s="12">
        <v>35</v>
      </c>
      <c r="F311" s="12" t="s">
        <v>556</v>
      </c>
      <c r="G311" s="12" t="s">
        <v>45</v>
      </c>
      <c r="H311" s="12" t="s">
        <v>26</v>
      </c>
      <c r="I311" s="12">
        <v>27</v>
      </c>
      <c r="J311" s="12">
        <v>27</v>
      </c>
      <c r="K311" s="12">
        <v>27</v>
      </c>
      <c r="L311" s="12">
        <v>28</v>
      </c>
      <c r="M311" s="12">
        <v>28</v>
      </c>
      <c r="N311" s="12">
        <v>28</v>
      </c>
      <c r="O311" s="12">
        <v>28</v>
      </c>
      <c r="P311" s="12">
        <v>28</v>
      </c>
      <c r="Q311" s="12">
        <v>28</v>
      </c>
      <c r="R311" s="12">
        <v>28</v>
      </c>
      <c r="S311" s="12">
        <v>27</v>
      </c>
      <c r="T311" s="12">
        <v>27</v>
      </c>
      <c r="U311" s="5">
        <v>331</v>
      </c>
      <c r="V311" s="5" t="s">
        <v>17</v>
      </c>
      <c r="W311" s="13">
        <v>46278</v>
      </c>
      <c r="X311" s="12">
        <v>1986</v>
      </c>
      <c r="Y311" s="12">
        <v>3</v>
      </c>
      <c r="Z311" s="15" t="s">
        <v>536</v>
      </c>
      <c r="AT311" s="4"/>
      <c r="AU311" s="4"/>
      <c r="AV311" s="1"/>
    </row>
    <row r="312" spans="1:48" x14ac:dyDescent="0.3">
      <c r="A312" s="14">
        <v>311</v>
      </c>
      <c r="B312" s="12">
        <v>127111</v>
      </c>
      <c r="C312" s="12" t="s">
        <v>342</v>
      </c>
      <c r="D312" s="12" t="s">
        <v>6</v>
      </c>
      <c r="E312" s="12">
        <v>47</v>
      </c>
      <c r="F312" s="12" t="s">
        <v>558</v>
      </c>
      <c r="G312" s="12" t="s">
        <v>45</v>
      </c>
      <c r="H312" s="12" t="s">
        <v>31</v>
      </c>
      <c r="I312" s="12">
        <v>28</v>
      </c>
      <c r="J312" s="12">
        <v>27</v>
      </c>
      <c r="K312" s="12">
        <v>27</v>
      </c>
      <c r="L312" s="12">
        <v>28</v>
      </c>
      <c r="M312" s="12">
        <v>28</v>
      </c>
      <c r="N312" s="12">
        <v>27</v>
      </c>
      <c r="O312" s="12">
        <v>28</v>
      </c>
      <c r="P312" s="12">
        <v>28</v>
      </c>
      <c r="Q312" s="12">
        <v>28</v>
      </c>
      <c r="R312" s="12">
        <v>28</v>
      </c>
      <c r="S312" s="12">
        <v>27</v>
      </c>
      <c r="T312" s="12">
        <v>28</v>
      </c>
      <c r="U312" s="5">
        <v>332</v>
      </c>
      <c r="V312" s="5" t="s">
        <v>17</v>
      </c>
      <c r="W312" s="13">
        <v>46275</v>
      </c>
      <c r="X312" s="12">
        <v>1992</v>
      </c>
      <c r="Y312" s="12">
        <v>4</v>
      </c>
      <c r="Z312" s="15" t="s">
        <v>535</v>
      </c>
      <c r="AT312" s="4"/>
      <c r="AU312" s="4"/>
      <c r="AV312" s="1"/>
    </row>
    <row r="313" spans="1:48" x14ac:dyDescent="0.3">
      <c r="A313" s="14">
        <v>312</v>
      </c>
      <c r="B313" s="12">
        <v>127112</v>
      </c>
      <c r="C313" s="12" t="s">
        <v>343</v>
      </c>
      <c r="D313" s="12" t="s">
        <v>6</v>
      </c>
      <c r="E313" s="12">
        <v>19</v>
      </c>
      <c r="F313" s="12" t="s">
        <v>555</v>
      </c>
      <c r="G313" s="12" t="s">
        <v>25</v>
      </c>
      <c r="H313" s="12" t="s">
        <v>26</v>
      </c>
      <c r="I313" s="12">
        <v>28</v>
      </c>
      <c r="J313" s="12">
        <v>27</v>
      </c>
      <c r="K313" s="12">
        <v>27</v>
      </c>
      <c r="L313" s="12">
        <v>28</v>
      </c>
      <c r="M313" s="12">
        <v>28</v>
      </c>
      <c r="N313" s="12">
        <v>28</v>
      </c>
      <c r="O313" s="12">
        <v>28</v>
      </c>
      <c r="P313" s="12">
        <v>28</v>
      </c>
      <c r="Q313" s="12">
        <v>28</v>
      </c>
      <c r="R313" s="12">
        <v>28</v>
      </c>
      <c r="S313" s="12">
        <v>27</v>
      </c>
      <c r="T313" s="12">
        <v>28</v>
      </c>
      <c r="U313" s="5">
        <v>333</v>
      </c>
      <c r="V313" s="5" t="s">
        <v>14</v>
      </c>
      <c r="W313" s="13">
        <v>46199</v>
      </c>
      <c r="X313" s="12">
        <v>1998</v>
      </c>
      <c r="Y313" s="12">
        <v>3</v>
      </c>
      <c r="Z313" s="15" t="s">
        <v>536</v>
      </c>
      <c r="AT313" s="4"/>
      <c r="AU313" s="4"/>
      <c r="AV313" s="1"/>
    </row>
    <row r="314" spans="1:48" x14ac:dyDescent="0.3">
      <c r="A314" s="14">
        <v>313</v>
      </c>
      <c r="B314" s="12">
        <v>127113</v>
      </c>
      <c r="C314" s="12" t="s">
        <v>344</v>
      </c>
      <c r="D314" s="12" t="s">
        <v>6</v>
      </c>
      <c r="E314" s="12">
        <v>29</v>
      </c>
      <c r="F314" s="12" t="s">
        <v>556</v>
      </c>
      <c r="G314" s="12" t="s">
        <v>25</v>
      </c>
      <c r="H314" s="12" t="s">
        <v>28</v>
      </c>
      <c r="I314" s="12">
        <v>27</v>
      </c>
      <c r="J314" s="12">
        <v>27</v>
      </c>
      <c r="K314" s="12">
        <v>27</v>
      </c>
      <c r="L314" s="12">
        <v>28</v>
      </c>
      <c r="M314" s="12">
        <v>27</v>
      </c>
      <c r="N314" s="12">
        <v>27</v>
      </c>
      <c r="O314" s="12">
        <v>27</v>
      </c>
      <c r="P314" s="12">
        <v>28</v>
      </c>
      <c r="Q314" s="12">
        <v>28</v>
      </c>
      <c r="R314" s="12">
        <v>27</v>
      </c>
      <c r="S314" s="12">
        <v>27</v>
      </c>
      <c r="T314" s="12">
        <v>28</v>
      </c>
      <c r="U314" s="5">
        <v>328</v>
      </c>
      <c r="V314" s="5" t="s">
        <v>12</v>
      </c>
      <c r="W314" s="13">
        <v>46116</v>
      </c>
      <c r="X314" s="12">
        <v>1968</v>
      </c>
      <c r="Y314" s="12">
        <v>3</v>
      </c>
      <c r="Z314" s="15" t="s">
        <v>535</v>
      </c>
      <c r="AT314" s="4"/>
      <c r="AU314" s="4"/>
      <c r="AV314" s="1"/>
    </row>
    <row r="315" spans="1:48" x14ac:dyDescent="0.3">
      <c r="A315" s="14">
        <v>314</v>
      </c>
      <c r="B315" s="12">
        <v>127114</v>
      </c>
      <c r="C315" s="12" t="s">
        <v>345</v>
      </c>
      <c r="D315" s="12" t="s">
        <v>6</v>
      </c>
      <c r="E315" s="12">
        <v>36</v>
      </c>
      <c r="F315" s="12" t="s">
        <v>557</v>
      </c>
      <c r="G315" s="12" t="s">
        <v>45</v>
      </c>
      <c r="H315" s="12" t="s">
        <v>26</v>
      </c>
      <c r="I315" s="12">
        <v>28</v>
      </c>
      <c r="J315" s="12">
        <v>28</v>
      </c>
      <c r="K315" s="12">
        <v>27</v>
      </c>
      <c r="L315" s="12">
        <v>28</v>
      </c>
      <c r="M315" s="12">
        <v>28</v>
      </c>
      <c r="N315" s="12">
        <v>27</v>
      </c>
      <c r="O315" s="12">
        <v>28</v>
      </c>
      <c r="P315" s="12">
        <v>27</v>
      </c>
      <c r="Q315" s="12">
        <v>27</v>
      </c>
      <c r="R315" s="12">
        <v>27</v>
      </c>
      <c r="S315" s="12">
        <v>27</v>
      </c>
      <c r="T315" s="12">
        <v>28</v>
      </c>
      <c r="U315" s="5">
        <v>330</v>
      </c>
      <c r="V315" s="5" t="s">
        <v>12</v>
      </c>
      <c r="W315" s="13">
        <v>46118</v>
      </c>
      <c r="X315" s="12">
        <v>1980</v>
      </c>
      <c r="Y315" s="12">
        <v>5</v>
      </c>
      <c r="Z315" s="15" t="s">
        <v>535</v>
      </c>
      <c r="AT315" s="4"/>
      <c r="AU315" s="4"/>
      <c r="AV315" s="1"/>
    </row>
    <row r="316" spans="1:48" x14ac:dyDescent="0.3">
      <c r="A316" s="14">
        <v>315</v>
      </c>
      <c r="B316" s="12">
        <v>127115</v>
      </c>
      <c r="C316" s="12" t="s">
        <v>346</v>
      </c>
      <c r="D316" s="12" t="s">
        <v>7</v>
      </c>
      <c r="E316" s="12">
        <v>43</v>
      </c>
      <c r="F316" s="12" t="s">
        <v>557</v>
      </c>
      <c r="G316" s="12" t="s">
        <v>45</v>
      </c>
      <c r="H316" s="12" t="s">
        <v>26</v>
      </c>
      <c r="I316" s="12">
        <v>27</v>
      </c>
      <c r="J316" s="12">
        <v>27</v>
      </c>
      <c r="K316" s="12">
        <v>28</v>
      </c>
      <c r="L316" s="12">
        <v>28</v>
      </c>
      <c r="M316" s="12">
        <v>28</v>
      </c>
      <c r="N316" s="12">
        <v>27</v>
      </c>
      <c r="O316" s="12">
        <v>27</v>
      </c>
      <c r="P316" s="12">
        <v>28</v>
      </c>
      <c r="Q316" s="12">
        <v>28</v>
      </c>
      <c r="R316" s="12">
        <v>28</v>
      </c>
      <c r="S316" s="12">
        <v>27</v>
      </c>
      <c r="T316" s="12">
        <v>28</v>
      </c>
      <c r="U316" s="5">
        <v>331</v>
      </c>
      <c r="V316" s="5" t="s">
        <v>17</v>
      </c>
      <c r="W316" s="13">
        <v>46294</v>
      </c>
      <c r="X316" s="12">
        <v>1986</v>
      </c>
      <c r="Y316" s="12">
        <v>5</v>
      </c>
      <c r="Z316" s="15" t="s">
        <v>535</v>
      </c>
      <c r="AT316" s="4"/>
      <c r="AU316" s="4"/>
      <c r="AV316" s="1"/>
    </row>
    <row r="317" spans="1:48" x14ac:dyDescent="0.3">
      <c r="A317" s="14">
        <v>316</v>
      </c>
      <c r="B317" s="12">
        <v>127116</v>
      </c>
      <c r="C317" s="12" t="s">
        <v>347</v>
      </c>
      <c r="D317" s="12" t="s">
        <v>7</v>
      </c>
      <c r="E317" s="12">
        <v>37</v>
      </c>
      <c r="F317" s="12" t="s">
        <v>557</v>
      </c>
      <c r="G317" s="12" t="s">
        <v>38</v>
      </c>
      <c r="H317" s="12" t="s">
        <v>28</v>
      </c>
      <c r="I317" s="12">
        <v>27</v>
      </c>
      <c r="J317" s="12">
        <v>27</v>
      </c>
      <c r="K317" s="12">
        <v>27</v>
      </c>
      <c r="L317" s="12">
        <v>27</v>
      </c>
      <c r="M317" s="12">
        <v>28</v>
      </c>
      <c r="N317" s="12">
        <v>27</v>
      </c>
      <c r="O317" s="12">
        <v>27</v>
      </c>
      <c r="P317" s="12">
        <v>27</v>
      </c>
      <c r="Q317" s="12">
        <v>28</v>
      </c>
      <c r="R317" s="12">
        <v>27</v>
      </c>
      <c r="S317" s="12">
        <v>27</v>
      </c>
      <c r="T317" s="12">
        <v>27</v>
      </c>
      <c r="U317" s="5">
        <v>326</v>
      </c>
      <c r="V317" s="5" t="s">
        <v>15</v>
      </c>
      <c r="W317" s="13">
        <v>46229</v>
      </c>
      <c r="X317" s="12">
        <v>1956</v>
      </c>
      <c r="Y317" s="12">
        <v>3</v>
      </c>
      <c r="Z317" s="15" t="s">
        <v>536</v>
      </c>
      <c r="AT317" s="4"/>
      <c r="AU317" s="4"/>
      <c r="AV317" s="1"/>
    </row>
    <row r="318" spans="1:48" x14ac:dyDescent="0.3">
      <c r="A318" s="14">
        <v>317</v>
      </c>
      <c r="B318" s="12">
        <v>127117</v>
      </c>
      <c r="C318" s="12" t="s">
        <v>348</v>
      </c>
      <c r="D318" s="12" t="s">
        <v>6</v>
      </c>
      <c r="E318" s="12">
        <v>45</v>
      </c>
      <c r="F318" s="12" t="s">
        <v>557</v>
      </c>
      <c r="G318" s="12" t="s">
        <v>30</v>
      </c>
      <c r="H318" s="12" t="s">
        <v>31</v>
      </c>
      <c r="I318" s="12">
        <v>28</v>
      </c>
      <c r="J318" s="12">
        <v>27</v>
      </c>
      <c r="K318" s="12">
        <v>28</v>
      </c>
      <c r="L318" s="12">
        <v>27</v>
      </c>
      <c r="M318" s="12">
        <v>28</v>
      </c>
      <c r="N318" s="12">
        <v>27</v>
      </c>
      <c r="O318" s="12">
        <v>27</v>
      </c>
      <c r="P318" s="12">
        <v>27</v>
      </c>
      <c r="Q318" s="12">
        <v>27</v>
      </c>
      <c r="R318" s="12">
        <v>27</v>
      </c>
      <c r="S318" s="12">
        <v>28</v>
      </c>
      <c r="T318" s="12">
        <v>28</v>
      </c>
      <c r="U318" s="5">
        <v>329</v>
      </c>
      <c r="V318" s="5" t="s">
        <v>17</v>
      </c>
      <c r="W318" s="13">
        <v>46267</v>
      </c>
      <c r="X318" s="12">
        <v>1974</v>
      </c>
      <c r="Y318" s="12">
        <v>3</v>
      </c>
      <c r="Z318" s="15" t="s">
        <v>535</v>
      </c>
      <c r="AT318" s="4"/>
      <c r="AU318" s="4"/>
      <c r="AV318" s="1"/>
    </row>
    <row r="319" spans="1:48" x14ac:dyDescent="0.3">
      <c r="A319" s="14">
        <v>318</v>
      </c>
      <c r="B319" s="12">
        <v>127118</v>
      </c>
      <c r="C319" s="12" t="s">
        <v>349</v>
      </c>
      <c r="D319" s="12" t="s">
        <v>6</v>
      </c>
      <c r="E319" s="12">
        <v>36</v>
      </c>
      <c r="F319" s="12" t="s">
        <v>557</v>
      </c>
      <c r="G319" s="12" t="s">
        <v>30</v>
      </c>
      <c r="H319" s="12" t="s">
        <v>26</v>
      </c>
      <c r="I319" s="12">
        <v>27</v>
      </c>
      <c r="J319" s="12">
        <v>27</v>
      </c>
      <c r="K319" s="12">
        <v>28</v>
      </c>
      <c r="L319" s="12">
        <v>28</v>
      </c>
      <c r="M319" s="12">
        <v>28</v>
      </c>
      <c r="N319" s="12">
        <v>27</v>
      </c>
      <c r="O319" s="12">
        <v>27</v>
      </c>
      <c r="P319" s="12">
        <v>27</v>
      </c>
      <c r="Q319" s="12">
        <v>28</v>
      </c>
      <c r="R319" s="12">
        <v>27</v>
      </c>
      <c r="S319" s="12">
        <v>27</v>
      </c>
      <c r="T319" s="12">
        <v>28</v>
      </c>
      <c r="U319" s="5">
        <v>329</v>
      </c>
      <c r="V319" s="5" t="s">
        <v>9</v>
      </c>
      <c r="W319" s="13">
        <v>46042</v>
      </c>
      <c r="X319" s="12">
        <v>1974</v>
      </c>
      <c r="Y319" s="12">
        <v>5</v>
      </c>
      <c r="Z319" s="15" t="s">
        <v>536</v>
      </c>
      <c r="AT319" s="4"/>
      <c r="AU319" s="4"/>
      <c r="AV319" s="1"/>
    </row>
    <row r="320" spans="1:48" x14ac:dyDescent="0.3">
      <c r="A320" s="14">
        <v>319</v>
      </c>
      <c r="B320" s="12">
        <v>127119</v>
      </c>
      <c r="C320" s="12" t="s">
        <v>350</v>
      </c>
      <c r="D320" s="12" t="s">
        <v>6</v>
      </c>
      <c r="E320" s="12">
        <v>39</v>
      </c>
      <c r="F320" s="12" t="s">
        <v>557</v>
      </c>
      <c r="G320" s="12" t="s">
        <v>35</v>
      </c>
      <c r="H320" s="12" t="s">
        <v>28</v>
      </c>
      <c r="I320" s="12">
        <v>27</v>
      </c>
      <c r="J320" s="12">
        <v>28</v>
      </c>
      <c r="K320" s="12">
        <v>27</v>
      </c>
      <c r="L320" s="12">
        <v>27</v>
      </c>
      <c r="M320" s="12">
        <v>27</v>
      </c>
      <c r="N320" s="12">
        <v>27</v>
      </c>
      <c r="O320" s="12">
        <v>28</v>
      </c>
      <c r="P320" s="12">
        <v>27</v>
      </c>
      <c r="Q320" s="12">
        <v>28</v>
      </c>
      <c r="R320" s="12">
        <v>27</v>
      </c>
      <c r="S320" s="12">
        <v>27</v>
      </c>
      <c r="T320" s="12">
        <v>28</v>
      </c>
      <c r="U320" s="5">
        <v>328</v>
      </c>
      <c r="V320" s="5" t="s">
        <v>9</v>
      </c>
      <c r="W320" s="13">
        <v>46039</v>
      </c>
      <c r="X320" s="12">
        <v>1968</v>
      </c>
      <c r="Y320" s="12">
        <v>5</v>
      </c>
      <c r="Z320" s="15" t="s">
        <v>535</v>
      </c>
      <c r="AT320" s="4"/>
      <c r="AU320" s="4"/>
      <c r="AV320" s="1"/>
    </row>
    <row r="321" spans="1:48" x14ac:dyDescent="0.3">
      <c r="A321" s="14">
        <v>320</v>
      </c>
      <c r="B321" s="12">
        <v>127120</v>
      </c>
      <c r="C321" s="12" t="s">
        <v>351</v>
      </c>
      <c r="D321" s="12" t="s">
        <v>6</v>
      </c>
      <c r="E321" s="12">
        <v>18</v>
      </c>
      <c r="F321" s="12" t="s">
        <v>555</v>
      </c>
      <c r="G321" s="12" t="s">
        <v>35</v>
      </c>
      <c r="H321" s="12" t="s">
        <v>26</v>
      </c>
      <c r="I321" s="12">
        <v>28</v>
      </c>
      <c r="J321" s="12">
        <v>28</v>
      </c>
      <c r="K321" s="12">
        <v>28</v>
      </c>
      <c r="L321" s="12">
        <v>27</v>
      </c>
      <c r="M321" s="12">
        <v>27</v>
      </c>
      <c r="N321" s="12">
        <v>28</v>
      </c>
      <c r="O321" s="12">
        <v>28</v>
      </c>
      <c r="P321" s="12">
        <v>28</v>
      </c>
      <c r="Q321" s="12">
        <v>28</v>
      </c>
      <c r="R321" s="12">
        <v>27</v>
      </c>
      <c r="S321" s="12">
        <v>27</v>
      </c>
      <c r="T321" s="12">
        <v>28</v>
      </c>
      <c r="U321" s="5">
        <v>332</v>
      </c>
      <c r="V321" s="5" t="s">
        <v>9</v>
      </c>
      <c r="W321" s="13">
        <v>46034</v>
      </c>
      <c r="X321" s="12">
        <v>1992</v>
      </c>
      <c r="Y321" s="12">
        <v>4</v>
      </c>
      <c r="Z321" s="15" t="s">
        <v>535</v>
      </c>
      <c r="AT321" s="4"/>
      <c r="AU321" s="4"/>
      <c r="AV321" s="1"/>
    </row>
    <row r="322" spans="1:48" x14ac:dyDescent="0.3">
      <c r="A322" s="14">
        <v>321</v>
      </c>
      <c r="B322" s="12">
        <v>127121</v>
      </c>
      <c r="C322" s="12" t="s">
        <v>352</v>
      </c>
      <c r="D322" s="12" t="s">
        <v>6</v>
      </c>
      <c r="E322" s="12">
        <v>22</v>
      </c>
      <c r="F322" s="12" t="s">
        <v>555</v>
      </c>
      <c r="G322" s="12" t="s">
        <v>35</v>
      </c>
      <c r="H322" s="12" t="s">
        <v>28</v>
      </c>
      <c r="I322" s="12">
        <v>27</v>
      </c>
      <c r="J322" s="12">
        <v>27</v>
      </c>
      <c r="K322" s="12">
        <v>27</v>
      </c>
      <c r="L322" s="12">
        <v>27</v>
      </c>
      <c r="M322" s="12">
        <v>27</v>
      </c>
      <c r="N322" s="12">
        <v>27</v>
      </c>
      <c r="O322" s="12">
        <v>28</v>
      </c>
      <c r="P322" s="12">
        <v>28</v>
      </c>
      <c r="Q322" s="12">
        <v>28</v>
      </c>
      <c r="R322" s="12">
        <v>27</v>
      </c>
      <c r="S322" s="12">
        <v>27</v>
      </c>
      <c r="T322" s="12">
        <v>28</v>
      </c>
      <c r="U322" s="5">
        <v>328</v>
      </c>
      <c r="V322" s="5" t="s">
        <v>17</v>
      </c>
      <c r="W322" s="13">
        <v>46284</v>
      </c>
      <c r="X322" s="12">
        <v>1968</v>
      </c>
      <c r="Y322" s="12">
        <v>3</v>
      </c>
      <c r="Z322" s="15" t="s">
        <v>536</v>
      </c>
      <c r="AT322" s="4"/>
      <c r="AU322" s="4"/>
      <c r="AV322" s="1"/>
    </row>
    <row r="323" spans="1:48" x14ac:dyDescent="0.3">
      <c r="A323" s="14">
        <v>322</v>
      </c>
      <c r="B323" s="12">
        <v>127122</v>
      </c>
      <c r="C323" s="12" t="s">
        <v>353</v>
      </c>
      <c r="D323" s="12" t="s">
        <v>7</v>
      </c>
      <c r="E323" s="12">
        <v>27</v>
      </c>
      <c r="F323" s="12" t="s">
        <v>556</v>
      </c>
      <c r="G323" s="12" t="s">
        <v>35</v>
      </c>
      <c r="H323" s="12" t="s">
        <v>31</v>
      </c>
      <c r="I323" s="12">
        <v>27</v>
      </c>
      <c r="J323" s="12">
        <v>28</v>
      </c>
      <c r="K323" s="12">
        <v>27</v>
      </c>
      <c r="L323" s="12">
        <v>28</v>
      </c>
      <c r="M323" s="12">
        <v>27</v>
      </c>
      <c r="N323" s="12">
        <v>27</v>
      </c>
      <c r="O323" s="12">
        <v>28</v>
      </c>
      <c r="P323" s="12">
        <v>28</v>
      </c>
      <c r="Q323" s="12">
        <v>28</v>
      </c>
      <c r="R323" s="12">
        <v>28</v>
      </c>
      <c r="S323" s="12">
        <v>27</v>
      </c>
      <c r="T323" s="12">
        <v>27</v>
      </c>
      <c r="U323" s="5">
        <v>330</v>
      </c>
      <c r="V323" s="5" t="s">
        <v>11</v>
      </c>
      <c r="W323" s="13">
        <v>46086</v>
      </c>
      <c r="X323" s="12">
        <v>1980</v>
      </c>
      <c r="Y323" s="12">
        <v>5</v>
      </c>
      <c r="Z323" s="15" t="s">
        <v>535</v>
      </c>
      <c r="AT323" s="4"/>
      <c r="AU323" s="4"/>
      <c r="AV323" s="1"/>
    </row>
    <row r="324" spans="1:48" x14ac:dyDescent="0.3">
      <c r="A324" s="14">
        <v>323</v>
      </c>
      <c r="B324" s="12">
        <v>127123</v>
      </c>
      <c r="C324" s="12" t="s">
        <v>354</v>
      </c>
      <c r="D324" s="12" t="s">
        <v>6</v>
      </c>
      <c r="E324" s="12">
        <v>44</v>
      </c>
      <c r="F324" s="12" t="s">
        <v>557</v>
      </c>
      <c r="G324" s="12" t="s">
        <v>25</v>
      </c>
      <c r="H324" s="12" t="s">
        <v>28</v>
      </c>
      <c r="I324" s="12">
        <v>27</v>
      </c>
      <c r="J324" s="12">
        <v>27</v>
      </c>
      <c r="K324" s="12">
        <v>28</v>
      </c>
      <c r="L324" s="12">
        <v>27</v>
      </c>
      <c r="M324" s="12">
        <v>28</v>
      </c>
      <c r="N324" s="12">
        <v>27</v>
      </c>
      <c r="O324" s="12">
        <v>28</v>
      </c>
      <c r="P324" s="12">
        <v>27</v>
      </c>
      <c r="Q324" s="12">
        <v>27</v>
      </c>
      <c r="R324" s="12">
        <v>28</v>
      </c>
      <c r="S324" s="12">
        <v>28</v>
      </c>
      <c r="T324" s="12">
        <v>28</v>
      </c>
      <c r="U324" s="5">
        <v>330</v>
      </c>
      <c r="V324" s="5" t="s">
        <v>15</v>
      </c>
      <c r="W324" s="13">
        <v>46204</v>
      </c>
      <c r="X324" s="12">
        <v>1980</v>
      </c>
      <c r="Y324" s="12">
        <v>3</v>
      </c>
      <c r="Z324" s="15" t="s">
        <v>535</v>
      </c>
      <c r="AT324" s="4"/>
      <c r="AU324" s="4"/>
      <c r="AV324" s="1"/>
    </row>
    <row r="325" spans="1:48" x14ac:dyDescent="0.3">
      <c r="A325" s="14">
        <v>324</v>
      </c>
      <c r="B325" s="12">
        <v>127124</v>
      </c>
      <c r="C325" s="12" t="s">
        <v>355</v>
      </c>
      <c r="D325" s="12" t="s">
        <v>6</v>
      </c>
      <c r="E325" s="12">
        <v>19</v>
      </c>
      <c r="F325" s="12" t="s">
        <v>555</v>
      </c>
      <c r="G325" s="12" t="s">
        <v>30</v>
      </c>
      <c r="H325" s="12" t="s">
        <v>28</v>
      </c>
      <c r="I325" s="12">
        <v>27</v>
      </c>
      <c r="J325" s="12">
        <v>27</v>
      </c>
      <c r="K325" s="12">
        <v>27</v>
      </c>
      <c r="L325" s="12">
        <v>28</v>
      </c>
      <c r="M325" s="12">
        <v>27</v>
      </c>
      <c r="N325" s="12">
        <v>28</v>
      </c>
      <c r="O325" s="12">
        <v>28</v>
      </c>
      <c r="P325" s="12">
        <v>27</v>
      </c>
      <c r="Q325" s="12">
        <v>27</v>
      </c>
      <c r="R325" s="12">
        <v>27</v>
      </c>
      <c r="S325" s="12">
        <v>28</v>
      </c>
      <c r="T325" s="12">
        <v>27</v>
      </c>
      <c r="U325" s="5">
        <v>328</v>
      </c>
      <c r="V325" s="5" t="s">
        <v>17</v>
      </c>
      <c r="W325" s="13">
        <v>46285</v>
      </c>
      <c r="X325" s="12">
        <v>1968</v>
      </c>
      <c r="Y325" s="12">
        <v>3</v>
      </c>
      <c r="Z325" s="15" t="s">
        <v>536</v>
      </c>
      <c r="AT325" s="4"/>
      <c r="AU325" s="4"/>
      <c r="AV325" s="1"/>
    </row>
    <row r="326" spans="1:48" x14ac:dyDescent="0.3">
      <c r="A326" s="14">
        <v>325</v>
      </c>
      <c r="B326" s="12">
        <v>127125</v>
      </c>
      <c r="C326" s="12" t="s">
        <v>356</v>
      </c>
      <c r="D326" s="12" t="s">
        <v>6</v>
      </c>
      <c r="E326" s="12">
        <v>47</v>
      </c>
      <c r="F326" s="12" t="s">
        <v>558</v>
      </c>
      <c r="G326" s="12" t="s">
        <v>35</v>
      </c>
      <c r="H326" s="12" t="s">
        <v>31</v>
      </c>
      <c r="I326" s="12">
        <v>28</v>
      </c>
      <c r="J326" s="12">
        <v>27</v>
      </c>
      <c r="K326" s="12">
        <v>27</v>
      </c>
      <c r="L326" s="12">
        <v>28</v>
      </c>
      <c r="M326" s="12">
        <v>27</v>
      </c>
      <c r="N326" s="12">
        <v>28</v>
      </c>
      <c r="O326" s="12">
        <v>27</v>
      </c>
      <c r="P326" s="12">
        <v>27</v>
      </c>
      <c r="Q326" s="12">
        <v>28</v>
      </c>
      <c r="R326" s="12">
        <v>27</v>
      </c>
      <c r="S326" s="12">
        <v>27</v>
      </c>
      <c r="T326" s="12">
        <v>28</v>
      </c>
      <c r="U326" s="5">
        <v>329</v>
      </c>
      <c r="V326" s="5" t="s">
        <v>14</v>
      </c>
      <c r="W326" s="13">
        <v>46187</v>
      </c>
      <c r="X326" s="12">
        <v>1974</v>
      </c>
      <c r="Y326" s="12">
        <v>5</v>
      </c>
      <c r="Z326" s="15" t="s">
        <v>535</v>
      </c>
      <c r="AT326" s="4"/>
      <c r="AU326" s="4"/>
      <c r="AV326" s="1"/>
    </row>
    <row r="327" spans="1:48" x14ac:dyDescent="0.3">
      <c r="A327" s="14">
        <v>326</v>
      </c>
      <c r="B327" s="12">
        <v>127126</v>
      </c>
      <c r="C327" s="12" t="s">
        <v>357</v>
      </c>
      <c r="D327" s="12" t="s">
        <v>7</v>
      </c>
      <c r="E327" s="12">
        <v>32</v>
      </c>
      <c r="F327" s="12" t="s">
        <v>556</v>
      </c>
      <c r="G327" s="12" t="s">
        <v>45</v>
      </c>
      <c r="H327" s="12" t="s">
        <v>28</v>
      </c>
      <c r="I327" s="12">
        <v>27</v>
      </c>
      <c r="J327" s="12">
        <v>27</v>
      </c>
      <c r="K327" s="12">
        <v>28</v>
      </c>
      <c r="L327" s="12">
        <v>28</v>
      </c>
      <c r="M327" s="12">
        <v>28</v>
      </c>
      <c r="N327" s="12">
        <v>27</v>
      </c>
      <c r="O327" s="12">
        <v>28</v>
      </c>
      <c r="P327" s="12">
        <v>28</v>
      </c>
      <c r="Q327" s="12">
        <v>27</v>
      </c>
      <c r="R327" s="12">
        <v>27</v>
      </c>
      <c r="S327" s="12">
        <v>27</v>
      </c>
      <c r="T327" s="12">
        <v>27</v>
      </c>
      <c r="U327" s="5">
        <v>329</v>
      </c>
      <c r="V327" s="5" t="s">
        <v>17</v>
      </c>
      <c r="W327" s="13">
        <v>46289</v>
      </c>
      <c r="X327" s="12">
        <v>1974</v>
      </c>
      <c r="Y327" s="12">
        <v>3</v>
      </c>
      <c r="Z327" s="15" t="s">
        <v>536</v>
      </c>
      <c r="AT327" s="4"/>
      <c r="AU327" s="4"/>
      <c r="AV327" s="1"/>
    </row>
    <row r="328" spans="1:48" x14ac:dyDescent="0.3">
      <c r="A328" s="14">
        <v>327</v>
      </c>
      <c r="B328" s="12">
        <v>127127</v>
      </c>
      <c r="C328" s="12" t="s">
        <v>358</v>
      </c>
      <c r="D328" s="12" t="s">
        <v>6</v>
      </c>
      <c r="E328" s="12">
        <v>49</v>
      </c>
      <c r="F328" s="12" t="s">
        <v>558</v>
      </c>
      <c r="G328" s="12" t="s">
        <v>35</v>
      </c>
      <c r="H328" s="12" t="s">
        <v>28</v>
      </c>
      <c r="I328" s="12">
        <v>27</v>
      </c>
      <c r="J328" s="12">
        <v>28</v>
      </c>
      <c r="K328" s="12">
        <v>28</v>
      </c>
      <c r="L328" s="12">
        <v>28</v>
      </c>
      <c r="M328" s="12">
        <v>28</v>
      </c>
      <c r="N328" s="12">
        <v>27</v>
      </c>
      <c r="O328" s="12">
        <v>28</v>
      </c>
      <c r="P328" s="12">
        <v>28</v>
      </c>
      <c r="Q328" s="12">
        <v>27</v>
      </c>
      <c r="R328" s="12">
        <v>28</v>
      </c>
      <c r="S328" s="12">
        <v>27</v>
      </c>
      <c r="T328" s="12">
        <v>27</v>
      </c>
      <c r="U328" s="5">
        <v>331</v>
      </c>
      <c r="V328" s="5" t="s">
        <v>11</v>
      </c>
      <c r="W328" s="13">
        <v>46106</v>
      </c>
      <c r="X328" s="12">
        <v>1986</v>
      </c>
      <c r="Y328" s="12">
        <v>4</v>
      </c>
      <c r="Z328" s="15" t="s">
        <v>535</v>
      </c>
      <c r="AT328" s="4"/>
      <c r="AU328" s="4"/>
      <c r="AV328" s="1"/>
    </row>
    <row r="329" spans="1:48" x14ac:dyDescent="0.3">
      <c r="A329" s="14">
        <v>328</v>
      </c>
      <c r="B329" s="12">
        <v>127128</v>
      </c>
      <c r="C329" s="12" t="s">
        <v>359</v>
      </c>
      <c r="D329" s="12" t="s">
        <v>7</v>
      </c>
      <c r="E329" s="12">
        <v>35</v>
      </c>
      <c r="F329" s="12" t="s">
        <v>556</v>
      </c>
      <c r="G329" s="12" t="s">
        <v>38</v>
      </c>
      <c r="H329" s="12" t="s">
        <v>28</v>
      </c>
      <c r="I329" s="12">
        <v>27</v>
      </c>
      <c r="J329" s="12">
        <v>28</v>
      </c>
      <c r="K329" s="12">
        <v>27</v>
      </c>
      <c r="L329" s="12">
        <v>27</v>
      </c>
      <c r="M329" s="12">
        <v>28</v>
      </c>
      <c r="N329" s="12">
        <v>28</v>
      </c>
      <c r="O329" s="12">
        <v>28</v>
      </c>
      <c r="P329" s="12">
        <v>28</v>
      </c>
      <c r="Q329" s="12">
        <v>27</v>
      </c>
      <c r="R329" s="12">
        <v>27</v>
      </c>
      <c r="S329" s="12">
        <v>28</v>
      </c>
      <c r="T329" s="12">
        <v>27</v>
      </c>
      <c r="U329" s="5">
        <v>330</v>
      </c>
      <c r="V329" s="5" t="s">
        <v>10</v>
      </c>
      <c r="W329" s="13">
        <v>46065</v>
      </c>
      <c r="X329" s="12">
        <v>1980</v>
      </c>
      <c r="Y329" s="12">
        <v>4</v>
      </c>
      <c r="Z329" s="15" t="s">
        <v>535</v>
      </c>
      <c r="AT329" s="4"/>
      <c r="AU329" s="4"/>
      <c r="AV329" s="1"/>
    </row>
    <row r="330" spans="1:48" x14ac:dyDescent="0.3">
      <c r="A330" s="14">
        <v>329</v>
      </c>
      <c r="B330" s="12">
        <v>127129</v>
      </c>
      <c r="C330" s="12" t="s">
        <v>360</v>
      </c>
      <c r="D330" s="12" t="s">
        <v>7</v>
      </c>
      <c r="E330" s="12">
        <v>33</v>
      </c>
      <c r="F330" s="12" t="s">
        <v>556</v>
      </c>
      <c r="G330" s="12" t="s">
        <v>45</v>
      </c>
      <c r="H330" s="12" t="s">
        <v>31</v>
      </c>
      <c r="I330" s="12">
        <v>28</v>
      </c>
      <c r="J330" s="12">
        <v>28</v>
      </c>
      <c r="K330" s="12">
        <v>27</v>
      </c>
      <c r="L330" s="12">
        <v>27</v>
      </c>
      <c r="M330" s="12">
        <v>27</v>
      </c>
      <c r="N330" s="12">
        <v>28</v>
      </c>
      <c r="O330" s="12">
        <v>28</v>
      </c>
      <c r="P330" s="12">
        <v>27</v>
      </c>
      <c r="Q330" s="12">
        <v>28</v>
      </c>
      <c r="R330" s="12">
        <v>27</v>
      </c>
      <c r="S330" s="12">
        <v>27</v>
      </c>
      <c r="T330" s="12">
        <v>27</v>
      </c>
      <c r="U330" s="5">
        <v>329</v>
      </c>
      <c r="V330" s="5" t="s">
        <v>15</v>
      </c>
      <c r="W330" s="13">
        <v>46206</v>
      </c>
      <c r="X330" s="12">
        <v>1974</v>
      </c>
      <c r="Y330" s="12">
        <v>4</v>
      </c>
      <c r="Z330" s="15" t="s">
        <v>535</v>
      </c>
      <c r="AT330" s="4"/>
      <c r="AU330" s="4"/>
      <c r="AV330" s="1"/>
    </row>
    <row r="331" spans="1:48" x14ac:dyDescent="0.3">
      <c r="A331" s="14">
        <v>330</v>
      </c>
      <c r="B331" s="12">
        <v>127130</v>
      </c>
      <c r="C331" s="12" t="s">
        <v>361</v>
      </c>
      <c r="D331" s="12" t="s">
        <v>6</v>
      </c>
      <c r="E331" s="12">
        <v>23</v>
      </c>
      <c r="F331" s="12" t="s">
        <v>555</v>
      </c>
      <c r="G331" s="12" t="s">
        <v>45</v>
      </c>
      <c r="H331" s="12" t="s">
        <v>28</v>
      </c>
      <c r="I331" s="12">
        <v>27</v>
      </c>
      <c r="J331" s="12">
        <v>27</v>
      </c>
      <c r="K331" s="12">
        <v>27</v>
      </c>
      <c r="L331" s="12">
        <v>27</v>
      </c>
      <c r="M331" s="12">
        <v>28</v>
      </c>
      <c r="N331" s="12">
        <v>28</v>
      </c>
      <c r="O331" s="12">
        <v>27</v>
      </c>
      <c r="P331" s="12">
        <v>28</v>
      </c>
      <c r="Q331" s="12">
        <v>27</v>
      </c>
      <c r="R331" s="12">
        <v>27</v>
      </c>
      <c r="S331" s="12">
        <v>28</v>
      </c>
      <c r="T331" s="12">
        <v>27</v>
      </c>
      <c r="U331" s="5">
        <v>328</v>
      </c>
      <c r="V331" s="5" t="s">
        <v>10</v>
      </c>
      <c r="W331" s="13">
        <v>46055</v>
      </c>
      <c r="X331" s="12">
        <v>1968</v>
      </c>
      <c r="Y331" s="12">
        <v>3</v>
      </c>
      <c r="Z331" s="15" t="s">
        <v>535</v>
      </c>
      <c r="AT331" s="4"/>
      <c r="AU331" s="4"/>
      <c r="AV331" s="1"/>
    </row>
    <row r="332" spans="1:48" x14ac:dyDescent="0.3">
      <c r="A332" s="14">
        <v>331</v>
      </c>
      <c r="B332" s="12">
        <v>127131</v>
      </c>
      <c r="C332" s="12" t="s">
        <v>362</v>
      </c>
      <c r="D332" s="12" t="s">
        <v>6</v>
      </c>
      <c r="E332" s="12">
        <v>37</v>
      </c>
      <c r="F332" s="12" t="s">
        <v>557</v>
      </c>
      <c r="G332" s="12" t="s">
        <v>25</v>
      </c>
      <c r="H332" s="12" t="s">
        <v>26</v>
      </c>
      <c r="I332" s="12">
        <v>27</v>
      </c>
      <c r="J332" s="12">
        <v>28</v>
      </c>
      <c r="K332" s="12">
        <v>27</v>
      </c>
      <c r="L332" s="12">
        <v>28</v>
      </c>
      <c r="M332" s="12">
        <v>27</v>
      </c>
      <c r="N332" s="12">
        <v>27</v>
      </c>
      <c r="O332" s="12">
        <v>28</v>
      </c>
      <c r="P332" s="12">
        <v>27</v>
      </c>
      <c r="Q332" s="12">
        <v>27</v>
      </c>
      <c r="R332" s="12">
        <v>28</v>
      </c>
      <c r="S332" s="12">
        <v>27</v>
      </c>
      <c r="T332" s="12">
        <v>28</v>
      </c>
      <c r="U332" s="5">
        <v>329</v>
      </c>
      <c r="V332" s="5" t="s">
        <v>16</v>
      </c>
      <c r="W332" s="13">
        <v>46264</v>
      </c>
      <c r="X332" s="12">
        <v>1974</v>
      </c>
      <c r="Y332" s="12">
        <v>5</v>
      </c>
      <c r="Z332" s="15" t="s">
        <v>535</v>
      </c>
      <c r="AT332" s="4"/>
      <c r="AU332" s="4"/>
      <c r="AV332" s="1"/>
    </row>
    <row r="333" spans="1:48" x14ac:dyDescent="0.3">
      <c r="A333" s="14">
        <v>332</v>
      </c>
      <c r="B333" s="12">
        <v>127132</v>
      </c>
      <c r="C333" s="12" t="s">
        <v>363</v>
      </c>
      <c r="D333" s="12" t="s">
        <v>6</v>
      </c>
      <c r="E333" s="12">
        <v>35</v>
      </c>
      <c r="F333" s="12" t="s">
        <v>556</v>
      </c>
      <c r="G333" s="12" t="s">
        <v>38</v>
      </c>
      <c r="H333" s="12" t="s">
        <v>26</v>
      </c>
      <c r="I333" s="12">
        <v>27</v>
      </c>
      <c r="J333" s="12">
        <v>28</v>
      </c>
      <c r="K333" s="12">
        <v>27</v>
      </c>
      <c r="L333" s="12">
        <v>28</v>
      </c>
      <c r="M333" s="12">
        <v>27</v>
      </c>
      <c r="N333" s="12">
        <v>27</v>
      </c>
      <c r="O333" s="12">
        <v>28</v>
      </c>
      <c r="P333" s="12">
        <v>28</v>
      </c>
      <c r="Q333" s="12">
        <v>28</v>
      </c>
      <c r="R333" s="12">
        <v>28</v>
      </c>
      <c r="S333" s="12">
        <v>27</v>
      </c>
      <c r="T333" s="12">
        <v>28</v>
      </c>
      <c r="U333" s="5">
        <v>331</v>
      </c>
      <c r="V333" s="5" t="s">
        <v>10</v>
      </c>
      <c r="W333" s="13">
        <v>46075</v>
      </c>
      <c r="X333" s="12">
        <v>1986</v>
      </c>
      <c r="Y333" s="12">
        <v>3</v>
      </c>
      <c r="Z333" s="15" t="s">
        <v>536</v>
      </c>
      <c r="AT333" s="4"/>
      <c r="AU333" s="4"/>
      <c r="AV333" s="1"/>
    </row>
    <row r="334" spans="1:48" x14ac:dyDescent="0.3">
      <c r="A334" s="14">
        <v>333</v>
      </c>
      <c r="B334" s="12">
        <v>127133</v>
      </c>
      <c r="C334" s="12" t="s">
        <v>364</v>
      </c>
      <c r="D334" s="12" t="s">
        <v>6</v>
      </c>
      <c r="E334" s="12">
        <v>31</v>
      </c>
      <c r="F334" s="12" t="s">
        <v>556</v>
      </c>
      <c r="G334" s="12" t="s">
        <v>25</v>
      </c>
      <c r="H334" s="12" t="s">
        <v>28</v>
      </c>
      <c r="I334" s="12">
        <v>28</v>
      </c>
      <c r="J334" s="12">
        <v>27</v>
      </c>
      <c r="K334" s="12">
        <v>27</v>
      </c>
      <c r="L334" s="12">
        <v>27</v>
      </c>
      <c r="M334" s="12">
        <v>27</v>
      </c>
      <c r="N334" s="12">
        <v>27</v>
      </c>
      <c r="O334" s="12">
        <v>27</v>
      </c>
      <c r="P334" s="12">
        <v>27</v>
      </c>
      <c r="Q334" s="12">
        <v>28</v>
      </c>
      <c r="R334" s="12">
        <v>27</v>
      </c>
      <c r="S334" s="12">
        <v>27</v>
      </c>
      <c r="T334" s="12">
        <v>28</v>
      </c>
      <c r="U334" s="5">
        <v>327</v>
      </c>
      <c r="V334" s="5" t="s">
        <v>15</v>
      </c>
      <c r="W334" s="13">
        <v>46204</v>
      </c>
      <c r="X334" s="12">
        <v>1962</v>
      </c>
      <c r="Y334" s="12">
        <v>5</v>
      </c>
      <c r="Z334" s="15" t="s">
        <v>535</v>
      </c>
      <c r="AT334" s="4"/>
      <c r="AU334" s="4"/>
      <c r="AV334" s="1"/>
    </row>
    <row r="335" spans="1:48" x14ac:dyDescent="0.3">
      <c r="A335" s="14">
        <v>334</v>
      </c>
      <c r="B335" s="12">
        <v>127134</v>
      </c>
      <c r="C335" s="12" t="s">
        <v>365</v>
      </c>
      <c r="D335" s="12" t="s">
        <v>6</v>
      </c>
      <c r="E335" s="12">
        <v>30</v>
      </c>
      <c r="F335" s="12" t="s">
        <v>556</v>
      </c>
      <c r="G335" s="12" t="s">
        <v>35</v>
      </c>
      <c r="H335" s="12" t="s">
        <v>31</v>
      </c>
      <c r="I335" s="12">
        <v>28</v>
      </c>
      <c r="J335" s="12">
        <v>28</v>
      </c>
      <c r="K335" s="12">
        <v>27</v>
      </c>
      <c r="L335" s="12">
        <v>27</v>
      </c>
      <c r="M335" s="12">
        <v>27</v>
      </c>
      <c r="N335" s="12">
        <v>27</v>
      </c>
      <c r="O335" s="12">
        <v>27</v>
      </c>
      <c r="P335" s="12">
        <v>28</v>
      </c>
      <c r="Q335" s="12">
        <v>28</v>
      </c>
      <c r="R335" s="12">
        <v>28</v>
      </c>
      <c r="S335" s="12">
        <v>27</v>
      </c>
      <c r="T335" s="12">
        <v>28</v>
      </c>
      <c r="U335" s="5">
        <v>330</v>
      </c>
      <c r="V335" s="5" t="s">
        <v>16</v>
      </c>
      <c r="W335" s="13">
        <v>46243</v>
      </c>
      <c r="X335" s="12">
        <v>1980</v>
      </c>
      <c r="Y335" s="12">
        <v>5</v>
      </c>
      <c r="Z335" s="15" t="s">
        <v>535</v>
      </c>
      <c r="AT335" s="4"/>
      <c r="AU335" s="4"/>
      <c r="AV335" s="1"/>
    </row>
    <row r="336" spans="1:48" x14ac:dyDescent="0.3">
      <c r="A336" s="14">
        <v>335</v>
      </c>
      <c r="B336" s="12">
        <v>127135</v>
      </c>
      <c r="C336" s="12" t="s">
        <v>366</v>
      </c>
      <c r="D336" s="12" t="s">
        <v>6</v>
      </c>
      <c r="E336" s="12">
        <v>48</v>
      </c>
      <c r="F336" s="12" t="s">
        <v>558</v>
      </c>
      <c r="G336" s="12" t="s">
        <v>45</v>
      </c>
      <c r="H336" s="12" t="s">
        <v>26</v>
      </c>
      <c r="I336" s="12">
        <v>27</v>
      </c>
      <c r="J336" s="12">
        <v>28</v>
      </c>
      <c r="K336" s="12">
        <v>27</v>
      </c>
      <c r="L336" s="12">
        <v>28</v>
      </c>
      <c r="M336" s="12">
        <v>28</v>
      </c>
      <c r="N336" s="12">
        <v>28</v>
      </c>
      <c r="O336" s="12">
        <v>27</v>
      </c>
      <c r="P336" s="12">
        <v>27</v>
      </c>
      <c r="Q336" s="12">
        <v>27</v>
      </c>
      <c r="R336" s="12">
        <v>28</v>
      </c>
      <c r="S336" s="12">
        <v>27</v>
      </c>
      <c r="T336" s="12">
        <v>27</v>
      </c>
      <c r="U336" s="5">
        <v>329</v>
      </c>
      <c r="V336" s="5" t="s">
        <v>17</v>
      </c>
      <c r="W336" s="13">
        <v>46266</v>
      </c>
      <c r="X336" s="12">
        <v>1974</v>
      </c>
      <c r="Y336" s="12">
        <v>5</v>
      </c>
      <c r="Z336" s="15" t="s">
        <v>535</v>
      </c>
      <c r="AT336" s="4"/>
      <c r="AU336" s="4"/>
      <c r="AV336" s="1"/>
    </row>
    <row r="337" spans="1:48" x14ac:dyDescent="0.3">
      <c r="A337" s="14">
        <v>336</v>
      </c>
      <c r="B337" s="12">
        <v>127136</v>
      </c>
      <c r="C337" s="12" t="s">
        <v>367</v>
      </c>
      <c r="D337" s="12" t="s">
        <v>6</v>
      </c>
      <c r="E337" s="12">
        <v>21</v>
      </c>
      <c r="F337" s="12" t="s">
        <v>555</v>
      </c>
      <c r="G337" s="12" t="s">
        <v>30</v>
      </c>
      <c r="H337" s="12" t="s">
        <v>28</v>
      </c>
      <c r="I337" s="12">
        <v>27</v>
      </c>
      <c r="J337" s="12">
        <v>28</v>
      </c>
      <c r="K337" s="12">
        <v>28</v>
      </c>
      <c r="L337" s="12">
        <v>27</v>
      </c>
      <c r="M337" s="12">
        <v>28</v>
      </c>
      <c r="N337" s="12">
        <v>28</v>
      </c>
      <c r="O337" s="12">
        <v>28</v>
      </c>
      <c r="P337" s="12">
        <v>27</v>
      </c>
      <c r="Q337" s="12">
        <v>28</v>
      </c>
      <c r="R337" s="12">
        <v>28</v>
      </c>
      <c r="S337" s="12">
        <v>28</v>
      </c>
      <c r="T337" s="12">
        <v>28</v>
      </c>
      <c r="U337" s="5">
        <v>333</v>
      </c>
      <c r="V337" s="5" t="s">
        <v>16</v>
      </c>
      <c r="W337" s="13">
        <v>46264</v>
      </c>
      <c r="X337" s="12">
        <v>1998</v>
      </c>
      <c r="Y337" s="12">
        <v>4</v>
      </c>
      <c r="Z337" s="15" t="s">
        <v>536</v>
      </c>
      <c r="AT337" s="4"/>
      <c r="AU337" s="4"/>
      <c r="AV337" s="1"/>
    </row>
    <row r="338" spans="1:48" x14ac:dyDescent="0.3">
      <c r="A338" s="14">
        <v>337</v>
      </c>
      <c r="B338" s="12">
        <v>127137</v>
      </c>
      <c r="C338" s="12" t="s">
        <v>368</v>
      </c>
      <c r="D338" s="12" t="s">
        <v>7</v>
      </c>
      <c r="E338" s="12">
        <v>30</v>
      </c>
      <c r="F338" s="12" t="s">
        <v>556</v>
      </c>
      <c r="G338" s="12" t="s">
        <v>35</v>
      </c>
      <c r="H338" s="12" t="s">
        <v>28</v>
      </c>
      <c r="I338" s="12">
        <v>28</v>
      </c>
      <c r="J338" s="12">
        <v>27</v>
      </c>
      <c r="K338" s="12">
        <v>28</v>
      </c>
      <c r="L338" s="12">
        <v>27</v>
      </c>
      <c r="M338" s="12">
        <v>27</v>
      </c>
      <c r="N338" s="12">
        <v>27</v>
      </c>
      <c r="O338" s="12">
        <v>27</v>
      </c>
      <c r="P338" s="12">
        <v>27</v>
      </c>
      <c r="Q338" s="12">
        <v>27</v>
      </c>
      <c r="R338" s="12">
        <v>28</v>
      </c>
      <c r="S338" s="12">
        <v>27</v>
      </c>
      <c r="T338" s="12">
        <v>27</v>
      </c>
      <c r="U338" s="5">
        <v>327</v>
      </c>
      <c r="V338" s="5" t="s">
        <v>14</v>
      </c>
      <c r="W338" s="13">
        <v>46181</v>
      </c>
      <c r="X338" s="12">
        <v>1962</v>
      </c>
      <c r="Y338" s="12">
        <v>3</v>
      </c>
      <c r="Z338" s="15" t="s">
        <v>536</v>
      </c>
      <c r="AT338" s="4"/>
      <c r="AU338" s="4"/>
      <c r="AV338" s="1"/>
    </row>
    <row r="339" spans="1:48" x14ac:dyDescent="0.3">
      <c r="A339" s="14">
        <v>338</v>
      </c>
      <c r="B339" s="12">
        <v>127138</v>
      </c>
      <c r="C339" s="12" t="s">
        <v>369</v>
      </c>
      <c r="D339" s="12" t="s">
        <v>7</v>
      </c>
      <c r="E339" s="12">
        <v>32</v>
      </c>
      <c r="F339" s="12" t="s">
        <v>556</v>
      </c>
      <c r="G339" s="12" t="s">
        <v>25</v>
      </c>
      <c r="H339" s="12" t="s">
        <v>28</v>
      </c>
      <c r="I339" s="12">
        <v>28</v>
      </c>
      <c r="J339" s="12">
        <v>28</v>
      </c>
      <c r="K339" s="12">
        <v>28</v>
      </c>
      <c r="L339" s="12">
        <v>28</v>
      </c>
      <c r="M339" s="12">
        <v>28</v>
      </c>
      <c r="N339" s="12">
        <v>27</v>
      </c>
      <c r="O339" s="12">
        <v>27</v>
      </c>
      <c r="P339" s="12">
        <v>27</v>
      </c>
      <c r="Q339" s="12">
        <v>27</v>
      </c>
      <c r="R339" s="12">
        <v>27</v>
      </c>
      <c r="S339" s="12">
        <v>27</v>
      </c>
      <c r="T339" s="12">
        <v>27</v>
      </c>
      <c r="U339" s="5">
        <v>329</v>
      </c>
      <c r="V339" s="5" t="s">
        <v>16</v>
      </c>
      <c r="W339" s="13">
        <v>46261</v>
      </c>
      <c r="X339" s="12">
        <v>1974</v>
      </c>
      <c r="Y339" s="12">
        <v>4</v>
      </c>
      <c r="Z339" s="15" t="s">
        <v>536</v>
      </c>
      <c r="AT339" s="4"/>
      <c r="AU339" s="4"/>
      <c r="AV339" s="1"/>
    </row>
    <row r="340" spans="1:48" x14ac:dyDescent="0.3">
      <c r="A340" s="14">
        <v>339</v>
      </c>
      <c r="B340" s="12">
        <v>127139</v>
      </c>
      <c r="C340" s="12" t="s">
        <v>370</v>
      </c>
      <c r="D340" s="12" t="s">
        <v>6</v>
      </c>
      <c r="E340" s="12">
        <v>40</v>
      </c>
      <c r="F340" s="12" t="s">
        <v>557</v>
      </c>
      <c r="G340" s="12" t="s">
        <v>30</v>
      </c>
      <c r="H340" s="12" t="s">
        <v>31</v>
      </c>
      <c r="I340" s="12">
        <v>27</v>
      </c>
      <c r="J340" s="12">
        <v>27</v>
      </c>
      <c r="K340" s="12">
        <v>28</v>
      </c>
      <c r="L340" s="12">
        <v>28</v>
      </c>
      <c r="M340" s="12">
        <v>27</v>
      </c>
      <c r="N340" s="12">
        <v>28</v>
      </c>
      <c r="O340" s="12">
        <v>27</v>
      </c>
      <c r="P340" s="12">
        <v>27</v>
      </c>
      <c r="Q340" s="12">
        <v>27</v>
      </c>
      <c r="R340" s="12">
        <v>28</v>
      </c>
      <c r="S340" s="12">
        <v>27</v>
      </c>
      <c r="T340" s="12">
        <v>28</v>
      </c>
      <c r="U340" s="5">
        <v>329</v>
      </c>
      <c r="V340" s="5" t="s">
        <v>15</v>
      </c>
      <c r="W340" s="13">
        <v>46204</v>
      </c>
      <c r="X340" s="12">
        <v>1974</v>
      </c>
      <c r="Y340" s="12">
        <v>4</v>
      </c>
      <c r="Z340" s="15" t="s">
        <v>536</v>
      </c>
      <c r="AT340" s="4"/>
      <c r="AU340" s="4"/>
      <c r="AV340" s="1"/>
    </row>
    <row r="341" spans="1:48" x14ac:dyDescent="0.3">
      <c r="A341" s="14">
        <v>340</v>
      </c>
      <c r="B341" s="12">
        <v>127140</v>
      </c>
      <c r="C341" s="12" t="s">
        <v>371</v>
      </c>
      <c r="D341" s="12" t="s">
        <v>6</v>
      </c>
      <c r="E341" s="12">
        <v>26</v>
      </c>
      <c r="F341" s="12" t="s">
        <v>556</v>
      </c>
      <c r="G341" s="12" t="s">
        <v>35</v>
      </c>
      <c r="H341" s="12" t="s">
        <v>31</v>
      </c>
      <c r="I341" s="12">
        <v>27</v>
      </c>
      <c r="J341" s="12">
        <v>28</v>
      </c>
      <c r="K341" s="12">
        <v>28</v>
      </c>
      <c r="L341" s="12">
        <v>28</v>
      </c>
      <c r="M341" s="12">
        <v>28</v>
      </c>
      <c r="N341" s="12">
        <v>28</v>
      </c>
      <c r="O341" s="12">
        <v>28</v>
      </c>
      <c r="P341" s="12">
        <v>28</v>
      </c>
      <c r="Q341" s="12">
        <v>28</v>
      </c>
      <c r="R341" s="12">
        <v>27</v>
      </c>
      <c r="S341" s="12">
        <v>28</v>
      </c>
      <c r="T341" s="12">
        <v>28</v>
      </c>
      <c r="U341" s="5">
        <v>334</v>
      </c>
      <c r="V341" s="5" t="s">
        <v>10</v>
      </c>
      <c r="W341" s="13">
        <v>46071</v>
      </c>
      <c r="X341" s="12">
        <v>2004</v>
      </c>
      <c r="Y341" s="12">
        <v>4</v>
      </c>
      <c r="Z341" s="15" t="s">
        <v>536</v>
      </c>
      <c r="AT341" s="4"/>
      <c r="AU341" s="4"/>
      <c r="AV341" s="1"/>
    </row>
    <row r="342" spans="1:48" x14ac:dyDescent="0.3">
      <c r="A342" s="14">
        <v>341</v>
      </c>
      <c r="B342" s="12">
        <v>127141</v>
      </c>
      <c r="C342" s="12" t="s">
        <v>372</v>
      </c>
      <c r="D342" s="12" t="s">
        <v>6</v>
      </c>
      <c r="E342" s="12">
        <v>48</v>
      </c>
      <c r="F342" s="12" t="s">
        <v>558</v>
      </c>
      <c r="G342" s="12" t="s">
        <v>30</v>
      </c>
      <c r="H342" s="12" t="s">
        <v>28</v>
      </c>
      <c r="I342" s="12">
        <v>28</v>
      </c>
      <c r="J342" s="12">
        <v>27</v>
      </c>
      <c r="K342" s="12">
        <v>27</v>
      </c>
      <c r="L342" s="12">
        <v>27</v>
      </c>
      <c r="M342" s="12">
        <v>28</v>
      </c>
      <c r="N342" s="12">
        <v>28</v>
      </c>
      <c r="O342" s="12">
        <v>28</v>
      </c>
      <c r="P342" s="12">
        <v>27</v>
      </c>
      <c r="Q342" s="12">
        <v>28</v>
      </c>
      <c r="R342" s="12">
        <v>28</v>
      </c>
      <c r="S342" s="12">
        <v>28</v>
      </c>
      <c r="T342" s="12">
        <v>27</v>
      </c>
      <c r="U342" s="5">
        <v>331</v>
      </c>
      <c r="V342" s="5" t="s">
        <v>16</v>
      </c>
      <c r="W342" s="13">
        <v>46258</v>
      </c>
      <c r="X342" s="12">
        <v>1986</v>
      </c>
      <c r="Y342" s="12">
        <v>3</v>
      </c>
      <c r="Z342" s="15" t="s">
        <v>536</v>
      </c>
      <c r="AT342" s="4"/>
      <c r="AU342" s="4"/>
      <c r="AV342" s="1"/>
    </row>
    <row r="343" spans="1:48" x14ac:dyDescent="0.3">
      <c r="A343" s="14">
        <v>342</v>
      </c>
      <c r="B343" s="12">
        <v>127142</v>
      </c>
      <c r="C343" s="12" t="s">
        <v>373</v>
      </c>
      <c r="D343" s="12" t="s">
        <v>6</v>
      </c>
      <c r="E343" s="12">
        <v>47</v>
      </c>
      <c r="F343" s="12" t="s">
        <v>558</v>
      </c>
      <c r="G343" s="12" t="s">
        <v>25</v>
      </c>
      <c r="H343" s="12" t="s">
        <v>26</v>
      </c>
      <c r="I343" s="12">
        <v>28</v>
      </c>
      <c r="J343" s="12">
        <v>28</v>
      </c>
      <c r="K343" s="12">
        <v>27</v>
      </c>
      <c r="L343" s="12">
        <v>27</v>
      </c>
      <c r="M343" s="12">
        <v>28</v>
      </c>
      <c r="N343" s="12">
        <v>28</v>
      </c>
      <c r="O343" s="12">
        <v>28</v>
      </c>
      <c r="P343" s="12">
        <v>28</v>
      </c>
      <c r="Q343" s="12">
        <v>28</v>
      </c>
      <c r="R343" s="12">
        <v>27</v>
      </c>
      <c r="S343" s="12">
        <v>27</v>
      </c>
      <c r="T343" s="12">
        <v>27</v>
      </c>
      <c r="U343" s="5">
        <v>331</v>
      </c>
      <c r="V343" s="5" t="s">
        <v>12</v>
      </c>
      <c r="W343" s="13">
        <v>46118</v>
      </c>
      <c r="X343" s="12">
        <v>1986</v>
      </c>
      <c r="Y343" s="12">
        <v>5</v>
      </c>
      <c r="Z343" s="15" t="s">
        <v>536</v>
      </c>
      <c r="AT343" s="4"/>
      <c r="AU343" s="4"/>
      <c r="AV343" s="1"/>
    </row>
    <row r="344" spans="1:48" x14ac:dyDescent="0.3">
      <c r="A344" s="14">
        <v>343</v>
      </c>
      <c r="B344" s="12">
        <v>127143</v>
      </c>
      <c r="C344" s="12" t="s">
        <v>374</v>
      </c>
      <c r="D344" s="12" t="s">
        <v>6</v>
      </c>
      <c r="E344" s="12">
        <v>21</v>
      </c>
      <c r="F344" s="12" t="s">
        <v>555</v>
      </c>
      <c r="G344" s="12" t="s">
        <v>45</v>
      </c>
      <c r="H344" s="12" t="s">
        <v>31</v>
      </c>
      <c r="I344" s="12">
        <v>27</v>
      </c>
      <c r="J344" s="12">
        <v>27</v>
      </c>
      <c r="K344" s="12">
        <v>27</v>
      </c>
      <c r="L344" s="12">
        <v>28</v>
      </c>
      <c r="M344" s="12">
        <v>27</v>
      </c>
      <c r="N344" s="12">
        <v>27</v>
      </c>
      <c r="O344" s="12">
        <v>27</v>
      </c>
      <c r="P344" s="12">
        <v>27</v>
      </c>
      <c r="Q344" s="12">
        <v>28</v>
      </c>
      <c r="R344" s="12">
        <v>28</v>
      </c>
      <c r="S344" s="12">
        <v>27</v>
      </c>
      <c r="T344" s="12">
        <v>27</v>
      </c>
      <c r="U344" s="5">
        <v>327</v>
      </c>
      <c r="V344" s="5" t="s">
        <v>13</v>
      </c>
      <c r="W344" s="13">
        <v>46170</v>
      </c>
      <c r="X344" s="12">
        <v>1962</v>
      </c>
      <c r="Y344" s="12">
        <v>5</v>
      </c>
      <c r="Z344" s="15" t="s">
        <v>535</v>
      </c>
      <c r="AT344" s="4"/>
      <c r="AU344" s="4"/>
      <c r="AV344" s="1"/>
    </row>
    <row r="345" spans="1:48" x14ac:dyDescent="0.3">
      <c r="A345" s="14">
        <v>344</v>
      </c>
      <c r="B345" s="12">
        <v>127144</v>
      </c>
      <c r="C345" s="12" t="s">
        <v>375</v>
      </c>
      <c r="D345" s="12" t="s">
        <v>7</v>
      </c>
      <c r="E345" s="12">
        <v>28</v>
      </c>
      <c r="F345" s="12" t="s">
        <v>556</v>
      </c>
      <c r="G345" s="12" t="s">
        <v>35</v>
      </c>
      <c r="H345" s="12" t="s">
        <v>26</v>
      </c>
      <c r="I345" s="12">
        <v>28</v>
      </c>
      <c r="J345" s="12">
        <v>28</v>
      </c>
      <c r="K345" s="12">
        <v>27</v>
      </c>
      <c r="L345" s="12">
        <v>27</v>
      </c>
      <c r="M345" s="12">
        <v>28</v>
      </c>
      <c r="N345" s="12">
        <v>28</v>
      </c>
      <c r="O345" s="12">
        <v>28</v>
      </c>
      <c r="P345" s="12">
        <v>27</v>
      </c>
      <c r="Q345" s="12">
        <v>28</v>
      </c>
      <c r="R345" s="12">
        <v>27</v>
      </c>
      <c r="S345" s="12">
        <v>28</v>
      </c>
      <c r="T345" s="12">
        <v>28</v>
      </c>
      <c r="U345" s="5">
        <v>332</v>
      </c>
      <c r="V345" s="5" t="s">
        <v>17</v>
      </c>
      <c r="W345" s="13">
        <v>46278</v>
      </c>
      <c r="X345" s="12">
        <v>1992</v>
      </c>
      <c r="Y345" s="12">
        <v>3</v>
      </c>
      <c r="Z345" s="15" t="s">
        <v>536</v>
      </c>
      <c r="AT345" s="4"/>
      <c r="AU345" s="4"/>
      <c r="AV345" s="1"/>
    </row>
    <row r="346" spans="1:48" x14ac:dyDescent="0.3">
      <c r="A346" s="14">
        <v>345</v>
      </c>
      <c r="B346" s="12">
        <v>127145</v>
      </c>
      <c r="C346" s="12" t="s">
        <v>376</v>
      </c>
      <c r="D346" s="12" t="s">
        <v>6</v>
      </c>
      <c r="E346" s="12">
        <v>50</v>
      </c>
      <c r="F346" s="12" t="s">
        <v>558</v>
      </c>
      <c r="G346" s="12" t="s">
        <v>30</v>
      </c>
      <c r="H346" s="12" t="s">
        <v>28</v>
      </c>
      <c r="I346" s="12">
        <v>27</v>
      </c>
      <c r="J346" s="12">
        <v>28</v>
      </c>
      <c r="K346" s="12">
        <v>27</v>
      </c>
      <c r="L346" s="12">
        <v>27</v>
      </c>
      <c r="M346" s="12">
        <v>28</v>
      </c>
      <c r="N346" s="12">
        <v>28</v>
      </c>
      <c r="O346" s="12">
        <v>27</v>
      </c>
      <c r="P346" s="12">
        <v>28</v>
      </c>
      <c r="Q346" s="12">
        <v>28</v>
      </c>
      <c r="R346" s="12">
        <v>28</v>
      </c>
      <c r="S346" s="12">
        <v>28</v>
      </c>
      <c r="T346" s="12">
        <v>28</v>
      </c>
      <c r="U346" s="5">
        <v>332</v>
      </c>
      <c r="V346" s="5" t="s">
        <v>13</v>
      </c>
      <c r="W346" s="13">
        <v>46170</v>
      </c>
      <c r="X346" s="12">
        <v>1992</v>
      </c>
      <c r="Y346" s="12">
        <v>5</v>
      </c>
      <c r="Z346" s="15" t="s">
        <v>536</v>
      </c>
      <c r="AT346" s="4"/>
      <c r="AU346" s="4"/>
      <c r="AV346" s="1"/>
    </row>
    <row r="347" spans="1:48" x14ac:dyDescent="0.3">
      <c r="A347" s="14">
        <v>346</v>
      </c>
      <c r="B347" s="12">
        <v>127146</v>
      </c>
      <c r="C347" s="12" t="s">
        <v>377</v>
      </c>
      <c r="D347" s="12" t="s">
        <v>6</v>
      </c>
      <c r="E347" s="12">
        <v>21</v>
      </c>
      <c r="F347" s="12" t="s">
        <v>555</v>
      </c>
      <c r="G347" s="12" t="s">
        <v>35</v>
      </c>
      <c r="H347" s="12" t="s">
        <v>28</v>
      </c>
      <c r="I347" s="12">
        <v>27</v>
      </c>
      <c r="J347" s="12">
        <v>28</v>
      </c>
      <c r="K347" s="12">
        <v>28</v>
      </c>
      <c r="L347" s="12">
        <v>27</v>
      </c>
      <c r="M347" s="12">
        <v>27</v>
      </c>
      <c r="N347" s="12">
        <v>27</v>
      </c>
      <c r="O347" s="12">
        <v>27</v>
      </c>
      <c r="P347" s="12">
        <v>27</v>
      </c>
      <c r="Q347" s="12">
        <v>27</v>
      </c>
      <c r="R347" s="12">
        <v>27</v>
      </c>
      <c r="S347" s="12">
        <v>27</v>
      </c>
      <c r="T347" s="12">
        <v>28</v>
      </c>
      <c r="U347" s="5">
        <v>327</v>
      </c>
      <c r="V347" s="5" t="s">
        <v>13</v>
      </c>
      <c r="W347" s="13">
        <v>46166</v>
      </c>
      <c r="X347" s="12">
        <v>1962</v>
      </c>
      <c r="Y347" s="12">
        <v>5</v>
      </c>
      <c r="Z347" s="15" t="s">
        <v>535</v>
      </c>
      <c r="AT347" s="4"/>
      <c r="AU347" s="4"/>
      <c r="AV347" s="1"/>
    </row>
    <row r="348" spans="1:48" x14ac:dyDescent="0.3">
      <c r="A348" s="14">
        <v>347</v>
      </c>
      <c r="B348" s="12">
        <v>127147</v>
      </c>
      <c r="C348" s="12" t="s">
        <v>378</v>
      </c>
      <c r="D348" s="12" t="s">
        <v>6</v>
      </c>
      <c r="E348" s="12">
        <v>46</v>
      </c>
      <c r="F348" s="12" t="s">
        <v>558</v>
      </c>
      <c r="G348" s="12" t="s">
        <v>35</v>
      </c>
      <c r="H348" s="12" t="s">
        <v>28</v>
      </c>
      <c r="I348" s="12">
        <v>27</v>
      </c>
      <c r="J348" s="12">
        <v>27</v>
      </c>
      <c r="K348" s="12">
        <v>27</v>
      </c>
      <c r="L348" s="12">
        <v>28</v>
      </c>
      <c r="M348" s="12">
        <v>27</v>
      </c>
      <c r="N348" s="12">
        <v>27</v>
      </c>
      <c r="O348" s="12">
        <v>28</v>
      </c>
      <c r="P348" s="12">
        <v>28</v>
      </c>
      <c r="Q348" s="12">
        <v>27</v>
      </c>
      <c r="R348" s="12">
        <v>28</v>
      </c>
      <c r="S348" s="12">
        <v>27</v>
      </c>
      <c r="T348" s="12">
        <v>28</v>
      </c>
      <c r="U348" s="5">
        <v>329</v>
      </c>
      <c r="V348" s="5" t="s">
        <v>14</v>
      </c>
      <c r="W348" s="13">
        <v>46177</v>
      </c>
      <c r="X348" s="12">
        <v>1974</v>
      </c>
      <c r="Y348" s="12">
        <v>4</v>
      </c>
      <c r="Z348" s="15" t="s">
        <v>536</v>
      </c>
      <c r="AT348" s="4"/>
      <c r="AU348" s="4"/>
      <c r="AV348" s="1"/>
    </row>
    <row r="349" spans="1:48" x14ac:dyDescent="0.3">
      <c r="A349" s="14">
        <v>348</v>
      </c>
      <c r="B349" s="12">
        <v>127148</v>
      </c>
      <c r="C349" s="12" t="s">
        <v>379</v>
      </c>
      <c r="D349" s="12" t="s">
        <v>7</v>
      </c>
      <c r="E349" s="12">
        <v>24</v>
      </c>
      <c r="F349" s="12" t="s">
        <v>555</v>
      </c>
      <c r="G349" s="12" t="s">
        <v>35</v>
      </c>
      <c r="H349" s="12" t="s">
        <v>28</v>
      </c>
      <c r="I349" s="12">
        <v>28</v>
      </c>
      <c r="J349" s="12">
        <v>27</v>
      </c>
      <c r="K349" s="12">
        <v>28</v>
      </c>
      <c r="L349" s="12">
        <v>28</v>
      </c>
      <c r="M349" s="12">
        <v>28</v>
      </c>
      <c r="N349" s="12">
        <v>28</v>
      </c>
      <c r="O349" s="12">
        <v>28</v>
      </c>
      <c r="P349" s="12">
        <v>27</v>
      </c>
      <c r="Q349" s="12">
        <v>28</v>
      </c>
      <c r="R349" s="12">
        <v>28</v>
      </c>
      <c r="S349" s="12">
        <v>27</v>
      </c>
      <c r="T349" s="12">
        <v>27</v>
      </c>
      <c r="U349" s="5">
        <v>332</v>
      </c>
      <c r="V349" s="5" t="s">
        <v>14</v>
      </c>
      <c r="W349" s="13">
        <v>46186</v>
      </c>
      <c r="X349" s="12">
        <v>1992</v>
      </c>
      <c r="Y349" s="12">
        <v>3</v>
      </c>
      <c r="Z349" s="15" t="s">
        <v>535</v>
      </c>
      <c r="AT349" s="4"/>
      <c r="AU349" s="4"/>
      <c r="AV349" s="1"/>
    </row>
    <row r="350" spans="1:48" x14ac:dyDescent="0.3">
      <c r="A350" s="14">
        <v>349</v>
      </c>
      <c r="B350" s="12">
        <v>127149</v>
      </c>
      <c r="C350" s="12" t="s">
        <v>380</v>
      </c>
      <c r="D350" s="12" t="s">
        <v>6</v>
      </c>
      <c r="E350" s="12">
        <v>27</v>
      </c>
      <c r="F350" s="12" t="s">
        <v>556</v>
      </c>
      <c r="G350" s="12" t="s">
        <v>38</v>
      </c>
      <c r="H350" s="12" t="s">
        <v>31</v>
      </c>
      <c r="I350" s="12">
        <v>27</v>
      </c>
      <c r="J350" s="12">
        <v>27</v>
      </c>
      <c r="K350" s="12">
        <v>28</v>
      </c>
      <c r="L350" s="12">
        <v>27</v>
      </c>
      <c r="M350" s="12">
        <v>27</v>
      </c>
      <c r="N350" s="12">
        <v>27</v>
      </c>
      <c r="O350" s="12">
        <v>28</v>
      </c>
      <c r="P350" s="12">
        <v>27</v>
      </c>
      <c r="Q350" s="12">
        <v>27</v>
      </c>
      <c r="R350" s="12">
        <v>27</v>
      </c>
      <c r="S350" s="12">
        <v>28</v>
      </c>
      <c r="T350" s="12">
        <v>28</v>
      </c>
      <c r="U350" s="5">
        <v>328</v>
      </c>
      <c r="V350" s="5" t="s">
        <v>14</v>
      </c>
      <c r="W350" s="13">
        <v>46182</v>
      </c>
      <c r="X350" s="12">
        <v>1968</v>
      </c>
      <c r="Y350" s="12">
        <v>5</v>
      </c>
      <c r="Z350" s="15" t="s">
        <v>536</v>
      </c>
      <c r="AT350" s="4"/>
      <c r="AU350" s="4"/>
      <c r="AV350" s="1"/>
    </row>
    <row r="351" spans="1:48" x14ac:dyDescent="0.3">
      <c r="A351" s="14">
        <v>350</v>
      </c>
      <c r="B351" s="12">
        <v>127150</v>
      </c>
      <c r="C351" s="12" t="s">
        <v>381</v>
      </c>
      <c r="D351" s="12" t="s">
        <v>7</v>
      </c>
      <c r="E351" s="12">
        <v>38</v>
      </c>
      <c r="F351" s="12" t="s">
        <v>557</v>
      </c>
      <c r="G351" s="12" t="s">
        <v>25</v>
      </c>
      <c r="H351" s="12" t="s">
        <v>26</v>
      </c>
      <c r="I351" s="12">
        <v>27</v>
      </c>
      <c r="J351" s="12">
        <v>28</v>
      </c>
      <c r="K351" s="12">
        <v>28</v>
      </c>
      <c r="L351" s="12">
        <v>27</v>
      </c>
      <c r="M351" s="12">
        <v>28</v>
      </c>
      <c r="N351" s="12">
        <v>27</v>
      </c>
      <c r="O351" s="12">
        <v>27</v>
      </c>
      <c r="P351" s="12">
        <v>27</v>
      </c>
      <c r="Q351" s="12">
        <v>27</v>
      </c>
      <c r="R351" s="12">
        <v>27</v>
      </c>
      <c r="S351" s="12">
        <v>28</v>
      </c>
      <c r="T351" s="12">
        <v>28</v>
      </c>
      <c r="U351" s="5">
        <v>329</v>
      </c>
      <c r="V351" s="5" t="s">
        <v>17</v>
      </c>
      <c r="W351" s="13">
        <v>46282</v>
      </c>
      <c r="X351" s="12">
        <v>1974</v>
      </c>
      <c r="Y351" s="12">
        <v>4</v>
      </c>
      <c r="Z351" s="15" t="s">
        <v>535</v>
      </c>
      <c r="AT351" s="4"/>
      <c r="AU351" s="4"/>
      <c r="AV351" s="1"/>
    </row>
    <row r="352" spans="1:48" x14ac:dyDescent="0.3">
      <c r="A352" s="14">
        <v>351</v>
      </c>
      <c r="B352" s="12">
        <v>127151</v>
      </c>
      <c r="C352" s="12" t="s">
        <v>382</v>
      </c>
      <c r="D352" s="12" t="s">
        <v>7</v>
      </c>
      <c r="E352" s="12">
        <v>37</v>
      </c>
      <c r="F352" s="12" t="s">
        <v>557</v>
      </c>
      <c r="G352" s="12" t="s">
        <v>25</v>
      </c>
      <c r="H352" s="12" t="s">
        <v>26</v>
      </c>
      <c r="I352" s="12">
        <v>28</v>
      </c>
      <c r="J352" s="12">
        <v>28</v>
      </c>
      <c r="K352" s="12">
        <v>28</v>
      </c>
      <c r="L352" s="12">
        <v>27</v>
      </c>
      <c r="M352" s="12">
        <v>27</v>
      </c>
      <c r="N352" s="12">
        <v>27</v>
      </c>
      <c r="O352" s="12">
        <v>28</v>
      </c>
      <c r="P352" s="12">
        <v>27</v>
      </c>
      <c r="Q352" s="12">
        <v>27</v>
      </c>
      <c r="R352" s="12">
        <v>28</v>
      </c>
      <c r="S352" s="12">
        <v>27</v>
      </c>
      <c r="T352" s="12">
        <v>28</v>
      </c>
      <c r="U352" s="5">
        <v>330</v>
      </c>
      <c r="V352" s="5" t="s">
        <v>14</v>
      </c>
      <c r="W352" s="13">
        <v>46183</v>
      </c>
      <c r="X352" s="12">
        <v>1980</v>
      </c>
      <c r="Y352" s="12">
        <v>5</v>
      </c>
      <c r="Z352" s="15" t="s">
        <v>536</v>
      </c>
      <c r="AT352" s="4"/>
      <c r="AU352" s="4"/>
      <c r="AV352" s="1"/>
    </row>
    <row r="353" spans="1:48" x14ac:dyDescent="0.3">
      <c r="A353" s="14">
        <v>352</v>
      </c>
      <c r="B353" s="12">
        <v>127152</v>
      </c>
      <c r="C353" s="12" t="s">
        <v>383</v>
      </c>
      <c r="D353" s="12" t="s">
        <v>6</v>
      </c>
      <c r="E353" s="12">
        <v>22</v>
      </c>
      <c r="F353" s="12" t="s">
        <v>555</v>
      </c>
      <c r="G353" s="12" t="s">
        <v>35</v>
      </c>
      <c r="H353" s="12" t="s">
        <v>26</v>
      </c>
      <c r="I353" s="12">
        <v>27</v>
      </c>
      <c r="J353" s="12">
        <v>28</v>
      </c>
      <c r="K353" s="12">
        <v>28</v>
      </c>
      <c r="L353" s="12">
        <v>27</v>
      </c>
      <c r="M353" s="12">
        <v>28</v>
      </c>
      <c r="N353" s="12">
        <v>28</v>
      </c>
      <c r="O353" s="12">
        <v>27</v>
      </c>
      <c r="P353" s="12">
        <v>27</v>
      </c>
      <c r="Q353" s="12">
        <v>28</v>
      </c>
      <c r="R353" s="12">
        <v>28</v>
      </c>
      <c r="S353" s="12">
        <v>28</v>
      </c>
      <c r="T353" s="12">
        <v>27</v>
      </c>
      <c r="U353" s="5">
        <v>331</v>
      </c>
      <c r="V353" s="5" t="s">
        <v>16</v>
      </c>
      <c r="W353" s="13">
        <v>46263</v>
      </c>
      <c r="X353" s="12">
        <v>1986</v>
      </c>
      <c r="Y353" s="12">
        <v>5</v>
      </c>
      <c r="Z353" s="15" t="s">
        <v>536</v>
      </c>
      <c r="AT353" s="4"/>
      <c r="AU353" s="4"/>
      <c r="AV353" s="1"/>
    </row>
    <row r="354" spans="1:48" x14ac:dyDescent="0.3">
      <c r="A354" s="14">
        <v>353</v>
      </c>
      <c r="B354" s="12">
        <v>127153</v>
      </c>
      <c r="C354" s="12" t="s">
        <v>384</v>
      </c>
      <c r="D354" s="12" t="s">
        <v>6</v>
      </c>
      <c r="E354" s="12">
        <v>32</v>
      </c>
      <c r="F354" s="12" t="s">
        <v>556</v>
      </c>
      <c r="G354" s="12" t="s">
        <v>25</v>
      </c>
      <c r="H354" s="12" t="s">
        <v>26</v>
      </c>
      <c r="I354" s="12">
        <v>27</v>
      </c>
      <c r="J354" s="12">
        <v>27</v>
      </c>
      <c r="K354" s="12">
        <v>27</v>
      </c>
      <c r="L354" s="12">
        <v>27</v>
      </c>
      <c r="M354" s="12">
        <v>28</v>
      </c>
      <c r="N354" s="12">
        <v>27</v>
      </c>
      <c r="O354" s="12">
        <v>28</v>
      </c>
      <c r="P354" s="12">
        <v>28</v>
      </c>
      <c r="Q354" s="12">
        <v>28</v>
      </c>
      <c r="R354" s="12">
        <v>28</v>
      </c>
      <c r="S354" s="12">
        <v>28</v>
      </c>
      <c r="T354" s="12">
        <v>27</v>
      </c>
      <c r="U354" s="5">
        <v>330</v>
      </c>
      <c r="V354" s="5" t="s">
        <v>13</v>
      </c>
      <c r="W354" s="13">
        <v>46147</v>
      </c>
      <c r="X354" s="12">
        <v>1980</v>
      </c>
      <c r="Y354" s="12">
        <v>4</v>
      </c>
      <c r="Z354" s="15" t="s">
        <v>535</v>
      </c>
      <c r="AT354" s="4"/>
      <c r="AU354" s="4"/>
      <c r="AV354" s="1"/>
    </row>
    <row r="355" spans="1:48" x14ac:dyDescent="0.3">
      <c r="A355" s="14">
        <v>354</v>
      </c>
      <c r="B355" s="12">
        <v>127154</v>
      </c>
      <c r="C355" s="12" t="s">
        <v>385</v>
      </c>
      <c r="D355" s="12" t="s">
        <v>6</v>
      </c>
      <c r="E355" s="12">
        <v>47</v>
      </c>
      <c r="F355" s="12" t="s">
        <v>558</v>
      </c>
      <c r="G355" s="12" t="s">
        <v>38</v>
      </c>
      <c r="H355" s="12" t="s">
        <v>28</v>
      </c>
      <c r="I355" s="12">
        <v>27</v>
      </c>
      <c r="J355" s="12">
        <v>28</v>
      </c>
      <c r="K355" s="12">
        <v>27</v>
      </c>
      <c r="L355" s="12">
        <v>27</v>
      </c>
      <c r="M355" s="12">
        <v>27</v>
      </c>
      <c r="N355" s="12">
        <v>27</v>
      </c>
      <c r="O355" s="12">
        <v>27</v>
      </c>
      <c r="P355" s="12">
        <v>28</v>
      </c>
      <c r="Q355" s="12">
        <v>28</v>
      </c>
      <c r="R355" s="12">
        <v>28</v>
      </c>
      <c r="S355" s="12">
        <v>28</v>
      </c>
      <c r="T355" s="12">
        <v>27</v>
      </c>
      <c r="U355" s="5">
        <v>329</v>
      </c>
      <c r="V355" s="5" t="s">
        <v>16</v>
      </c>
      <c r="W355" s="13">
        <v>46257</v>
      </c>
      <c r="X355" s="12">
        <v>1974</v>
      </c>
      <c r="Y355" s="12">
        <v>4</v>
      </c>
      <c r="Z355" s="15" t="s">
        <v>535</v>
      </c>
      <c r="AT355" s="4"/>
      <c r="AU355" s="4"/>
      <c r="AV355" s="1"/>
    </row>
    <row r="356" spans="1:48" x14ac:dyDescent="0.3">
      <c r="A356" s="14">
        <v>355</v>
      </c>
      <c r="B356" s="12">
        <v>127155</v>
      </c>
      <c r="C356" s="12" t="s">
        <v>386</v>
      </c>
      <c r="D356" s="12" t="s">
        <v>6</v>
      </c>
      <c r="E356" s="12">
        <v>42</v>
      </c>
      <c r="F356" s="12" t="s">
        <v>557</v>
      </c>
      <c r="G356" s="12" t="s">
        <v>38</v>
      </c>
      <c r="H356" s="12" t="s">
        <v>31</v>
      </c>
      <c r="I356" s="12">
        <v>28</v>
      </c>
      <c r="J356" s="12">
        <v>28</v>
      </c>
      <c r="K356" s="12">
        <v>28</v>
      </c>
      <c r="L356" s="12">
        <v>27</v>
      </c>
      <c r="M356" s="12">
        <v>28</v>
      </c>
      <c r="N356" s="12">
        <v>27</v>
      </c>
      <c r="O356" s="12">
        <v>27</v>
      </c>
      <c r="P356" s="12">
        <v>27</v>
      </c>
      <c r="Q356" s="12">
        <v>28</v>
      </c>
      <c r="R356" s="12">
        <v>27</v>
      </c>
      <c r="S356" s="12">
        <v>28</v>
      </c>
      <c r="T356" s="12">
        <v>28</v>
      </c>
      <c r="U356" s="5">
        <v>331</v>
      </c>
      <c r="V356" s="5" t="s">
        <v>13</v>
      </c>
      <c r="W356" s="13">
        <v>46150</v>
      </c>
      <c r="X356" s="12">
        <v>1986</v>
      </c>
      <c r="Y356" s="12">
        <v>4</v>
      </c>
      <c r="Z356" s="15" t="s">
        <v>535</v>
      </c>
      <c r="AT356" s="4"/>
      <c r="AU356" s="4"/>
      <c r="AV356" s="1"/>
    </row>
    <row r="357" spans="1:48" x14ac:dyDescent="0.3">
      <c r="A357" s="14">
        <v>356</v>
      </c>
      <c r="B357" s="12">
        <v>127156</v>
      </c>
      <c r="C357" s="12" t="s">
        <v>387</v>
      </c>
      <c r="D357" s="12" t="s">
        <v>6</v>
      </c>
      <c r="E357" s="12">
        <v>31</v>
      </c>
      <c r="F357" s="12" t="s">
        <v>556</v>
      </c>
      <c r="G357" s="12" t="s">
        <v>38</v>
      </c>
      <c r="H357" s="12" t="s">
        <v>31</v>
      </c>
      <c r="I357" s="12">
        <v>28</v>
      </c>
      <c r="J357" s="12">
        <v>28</v>
      </c>
      <c r="K357" s="12">
        <v>28</v>
      </c>
      <c r="L357" s="12">
        <v>28</v>
      </c>
      <c r="M357" s="12">
        <v>27</v>
      </c>
      <c r="N357" s="12">
        <v>28</v>
      </c>
      <c r="O357" s="12">
        <v>28</v>
      </c>
      <c r="P357" s="12">
        <v>27</v>
      </c>
      <c r="Q357" s="12">
        <v>27</v>
      </c>
      <c r="R357" s="12">
        <v>28</v>
      </c>
      <c r="S357" s="12">
        <v>28</v>
      </c>
      <c r="T357" s="12">
        <v>27</v>
      </c>
      <c r="U357" s="5">
        <v>332</v>
      </c>
      <c r="V357" s="5" t="s">
        <v>16</v>
      </c>
      <c r="W357" s="13">
        <v>46240</v>
      </c>
      <c r="X357" s="12">
        <v>1992</v>
      </c>
      <c r="Y357" s="12">
        <v>4</v>
      </c>
      <c r="Z357" s="15" t="s">
        <v>535</v>
      </c>
      <c r="AT357" s="4"/>
      <c r="AU357" s="4"/>
      <c r="AV357" s="1"/>
    </row>
    <row r="358" spans="1:48" x14ac:dyDescent="0.3">
      <c r="A358" s="14">
        <v>357</v>
      </c>
      <c r="B358" s="12">
        <v>127157</v>
      </c>
      <c r="C358" s="12" t="s">
        <v>388</v>
      </c>
      <c r="D358" s="12" t="s">
        <v>6</v>
      </c>
      <c r="E358" s="12">
        <v>42</v>
      </c>
      <c r="F358" s="12" t="s">
        <v>557</v>
      </c>
      <c r="G358" s="12" t="s">
        <v>38</v>
      </c>
      <c r="H358" s="12" t="s">
        <v>31</v>
      </c>
      <c r="I358" s="12">
        <v>28</v>
      </c>
      <c r="J358" s="12">
        <v>28</v>
      </c>
      <c r="K358" s="12">
        <v>27</v>
      </c>
      <c r="L358" s="12">
        <v>28</v>
      </c>
      <c r="M358" s="12">
        <v>28</v>
      </c>
      <c r="N358" s="12">
        <v>27</v>
      </c>
      <c r="O358" s="12">
        <v>28</v>
      </c>
      <c r="P358" s="12">
        <v>28</v>
      </c>
      <c r="Q358" s="12">
        <v>27</v>
      </c>
      <c r="R358" s="12">
        <v>27</v>
      </c>
      <c r="S358" s="12">
        <v>28</v>
      </c>
      <c r="T358" s="12">
        <v>27</v>
      </c>
      <c r="U358" s="5">
        <v>331</v>
      </c>
      <c r="V358" s="5" t="s">
        <v>10</v>
      </c>
      <c r="W358" s="13">
        <v>46058</v>
      </c>
      <c r="X358" s="12">
        <v>1986</v>
      </c>
      <c r="Y358" s="12">
        <v>5</v>
      </c>
      <c r="Z358" s="15" t="s">
        <v>536</v>
      </c>
      <c r="AT358" s="4"/>
      <c r="AU358" s="4"/>
      <c r="AV358" s="1"/>
    </row>
    <row r="359" spans="1:48" x14ac:dyDescent="0.3">
      <c r="A359" s="14">
        <v>358</v>
      </c>
      <c r="B359" s="12">
        <v>127158</v>
      </c>
      <c r="C359" s="12" t="s">
        <v>389</v>
      </c>
      <c r="D359" s="12" t="s">
        <v>6</v>
      </c>
      <c r="E359" s="12">
        <v>29</v>
      </c>
      <c r="F359" s="12" t="s">
        <v>556</v>
      </c>
      <c r="G359" s="12" t="s">
        <v>30</v>
      </c>
      <c r="H359" s="12" t="s">
        <v>26</v>
      </c>
      <c r="I359" s="12">
        <v>27</v>
      </c>
      <c r="J359" s="12">
        <v>28</v>
      </c>
      <c r="K359" s="12">
        <v>27</v>
      </c>
      <c r="L359" s="12">
        <v>27</v>
      </c>
      <c r="M359" s="12">
        <v>27</v>
      </c>
      <c r="N359" s="12">
        <v>28</v>
      </c>
      <c r="O359" s="12">
        <v>27</v>
      </c>
      <c r="P359" s="12">
        <v>28</v>
      </c>
      <c r="Q359" s="12">
        <v>27</v>
      </c>
      <c r="R359" s="12">
        <v>27</v>
      </c>
      <c r="S359" s="12">
        <v>28</v>
      </c>
      <c r="T359" s="12">
        <v>27</v>
      </c>
      <c r="U359" s="5">
        <v>328</v>
      </c>
      <c r="V359" s="5" t="s">
        <v>16</v>
      </c>
      <c r="W359" s="13">
        <v>46260</v>
      </c>
      <c r="X359" s="12">
        <v>1968</v>
      </c>
      <c r="Y359" s="12">
        <v>3</v>
      </c>
      <c r="Z359" s="15" t="s">
        <v>536</v>
      </c>
      <c r="AT359" s="4"/>
      <c r="AU359" s="4"/>
      <c r="AV359" s="1"/>
    </row>
    <row r="360" spans="1:48" x14ac:dyDescent="0.3">
      <c r="A360" s="14">
        <v>359</v>
      </c>
      <c r="B360" s="12">
        <v>127159</v>
      </c>
      <c r="C360" s="12" t="s">
        <v>390</v>
      </c>
      <c r="D360" s="12" t="s">
        <v>7</v>
      </c>
      <c r="E360" s="12">
        <v>24</v>
      </c>
      <c r="F360" s="12" t="s">
        <v>555</v>
      </c>
      <c r="G360" s="12" t="s">
        <v>35</v>
      </c>
      <c r="H360" s="12" t="s">
        <v>31</v>
      </c>
      <c r="I360" s="12">
        <v>27</v>
      </c>
      <c r="J360" s="12">
        <v>28</v>
      </c>
      <c r="K360" s="12">
        <v>27</v>
      </c>
      <c r="L360" s="12">
        <v>28</v>
      </c>
      <c r="M360" s="12">
        <v>28</v>
      </c>
      <c r="N360" s="12">
        <v>27</v>
      </c>
      <c r="O360" s="12">
        <v>28</v>
      </c>
      <c r="P360" s="12">
        <v>28</v>
      </c>
      <c r="Q360" s="12">
        <v>28</v>
      </c>
      <c r="R360" s="12">
        <v>27</v>
      </c>
      <c r="S360" s="12">
        <v>27</v>
      </c>
      <c r="T360" s="12">
        <v>27</v>
      </c>
      <c r="U360" s="5">
        <v>330</v>
      </c>
      <c r="V360" s="5" t="s">
        <v>16</v>
      </c>
      <c r="W360" s="13">
        <v>46244</v>
      </c>
      <c r="X360" s="12">
        <v>1980</v>
      </c>
      <c r="Y360" s="12">
        <v>4</v>
      </c>
      <c r="Z360" s="15" t="s">
        <v>536</v>
      </c>
      <c r="AT360" s="4"/>
      <c r="AU360" s="4"/>
      <c r="AV360" s="1"/>
    </row>
    <row r="361" spans="1:48" x14ac:dyDescent="0.3">
      <c r="A361" s="14">
        <v>360</v>
      </c>
      <c r="B361" s="12">
        <v>127160</v>
      </c>
      <c r="C361" s="12" t="s">
        <v>391</v>
      </c>
      <c r="D361" s="12" t="s">
        <v>7</v>
      </c>
      <c r="E361" s="12">
        <v>24</v>
      </c>
      <c r="F361" s="12" t="s">
        <v>555</v>
      </c>
      <c r="G361" s="12" t="s">
        <v>35</v>
      </c>
      <c r="H361" s="12" t="s">
        <v>31</v>
      </c>
      <c r="I361" s="12">
        <v>28</v>
      </c>
      <c r="J361" s="12">
        <v>27</v>
      </c>
      <c r="K361" s="12">
        <v>27</v>
      </c>
      <c r="L361" s="12">
        <v>28</v>
      </c>
      <c r="M361" s="12">
        <v>28</v>
      </c>
      <c r="N361" s="12">
        <v>27</v>
      </c>
      <c r="O361" s="12">
        <v>27</v>
      </c>
      <c r="P361" s="12">
        <v>28</v>
      </c>
      <c r="Q361" s="12">
        <v>28</v>
      </c>
      <c r="R361" s="12">
        <v>28</v>
      </c>
      <c r="S361" s="12">
        <v>28</v>
      </c>
      <c r="T361" s="12">
        <v>28</v>
      </c>
      <c r="U361" s="5">
        <v>332</v>
      </c>
      <c r="V361" s="5" t="s">
        <v>12</v>
      </c>
      <c r="W361" s="13">
        <v>46133</v>
      </c>
      <c r="X361" s="12">
        <v>1992</v>
      </c>
      <c r="Y361" s="12">
        <v>5</v>
      </c>
      <c r="Z361" s="15" t="s">
        <v>535</v>
      </c>
      <c r="AT361" s="4"/>
      <c r="AU361" s="4"/>
      <c r="AV361" s="1"/>
    </row>
    <row r="362" spans="1:48" x14ac:dyDescent="0.3">
      <c r="A362" s="14">
        <v>361</v>
      </c>
      <c r="B362" s="12">
        <v>127161</v>
      </c>
      <c r="C362" s="12" t="s">
        <v>392</v>
      </c>
      <c r="D362" s="12" t="s">
        <v>6</v>
      </c>
      <c r="E362" s="12">
        <v>47</v>
      </c>
      <c r="F362" s="12" t="s">
        <v>558</v>
      </c>
      <c r="G362" s="12" t="s">
        <v>30</v>
      </c>
      <c r="H362" s="12" t="s">
        <v>26</v>
      </c>
      <c r="I362" s="12">
        <v>28</v>
      </c>
      <c r="J362" s="12">
        <v>27</v>
      </c>
      <c r="K362" s="12">
        <v>27</v>
      </c>
      <c r="L362" s="12">
        <v>28</v>
      </c>
      <c r="M362" s="12">
        <v>27</v>
      </c>
      <c r="N362" s="12">
        <v>27</v>
      </c>
      <c r="O362" s="12">
        <v>28</v>
      </c>
      <c r="P362" s="12">
        <v>28</v>
      </c>
      <c r="Q362" s="12">
        <v>28</v>
      </c>
      <c r="R362" s="12">
        <v>28</v>
      </c>
      <c r="S362" s="12">
        <v>27</v>
      </c>
      <c r="T362" s="12">
        <v>27</v>
      </c>
      <c r="U362" s="5">
        <v>330</v>
      </c>
      <c r="V362" s="5" t="s">
        <v>12</v>
      </c>
      <c r="W362" s="13">
        <v>46121</v>
      </c>
      <c r="X362" s="12">
        <v>1980</v>
      </c>
      <c r="Y362" s="12">
        <v>5</v>
      </c>
      <c r="Z362" s="15" t="s">
        <v>536</v>
      </c>
      <c r="AT362" s="4"/>
      <c r="AU362" s="4"/>
      <c r="AV362" s="1"/>
    </row>
    <row r="363" spans="1:48" x14ac:dyDescent="0.3">
      <c r="A363" s="14">
        <v>362</v>
      </c>
      <c r="B363" s="12">
        <v>127162</v>
      </c>
      <c r="C363" s="12" t="s">
        <v>393</v>
      </c>
      <c r="D363" s="12" t="s">
        <v>6</v>
      </c>
      <c r="E363" s="12">
        <v>41</v>
      </c>
      <c r="F363" s="12" t="s">
        <v>557</v>
      </c>
      <c r="G363" s="12" t="s">
        <v>30</v>
      </c>
      <c r="H363" s="12" t="s">
        <v>28</v>
      </c>
      <c r="I363" s="12">
        <v>27</v>
      </c>
      <c r="J363" s="12">
        <v>27</v>
      </c>
      <c r="K363" s="12">
        <v>27</v>
      </c>
      <c r="L363" s="12">
        <v>28</v>
      </c>
      <c r="M363" s="12">
        <v>27</v>
      </c>
      <c r="N363" s="12">
        <v>28</v>
      </c>
      <c r="O363" s="12">
        <v>27</v>
      </c>
      <c r="P363" s="12">
        <v>28</v>
      </c>
      <c r="Q363" s="12">
        <v>28</v>
      </c>
      <c r="R363" s="12">
        <v>27</v>
      </c>
      <c r="S363" s="12">
        <v>27</v>
      </c>
      <c r="T363" s="12">
        <v>28</v>
      </c>
      <c r="U363" s="5">
        <v>329</v>
      </c>
      <c r="V363" s="5" t="s">
        <v>17</v>
      </c>
      <c r="W363" s="13">
        <v>46272</v>
      </c>
      <c r="X363" s="12">
        <v>1974</v>
      </c>
      <c r="Y363" s="12">
        <v>5</v>
      </c>
      <c r="Z363" s="15" t="s">
        <v>536</v>
      </c>
      <c r="AT363" s="4"/>
      <c r="AU363" s="4"/>
      <c r="AV363" s="1"/>
    </row>
    <row r="364" spans="1:48" x14ac:dyDescent="0.3">
      <c r="A364" s="14">
        <v>363</v>
      </c>
      <c r="B364" s="12">
        <v>127163</v>
      </c>
      <c r="C364" s="12" t="s">
        <v>394</v>
      </c>
      <c r="D364" s="12" t="s">
        <v>6</v>
      </c>
      <c r="E364" s="12">
        <v>45</v>
      </c>
      <c r="F364" s="12" t="s">
        <v>557</v>
      </c>
      <c r="G364" s="12" t="s">
        <v>25</v>
      </c>
      <c r="H364" s="12" t="s">
        <v>26</v>
      </c>
      <c r="I364" s="12">
        <v>27</v>
      </c>
      <c r="J364" s="12">
        <v>27</v>
      </c>
      <c r="K364" s="12">
        <v>27</v>
      </c>
      <c r="L364" s="12">
        <v>27</v>
      </c>
      <c r="M364" s="12">
        <v>28</v>
      </c>
      <c r="N364" s="12">
        <v>28</v>
      </c>
      <c r="O364" s="12">
        <v>27</v>
      </c>
      <c r="P364" s="12">
        <v>27</v>
      </c>
      <c r="Q364" s="12">
        <v>28</v>
      </c>
      <c r="R364" s="12">
        <v>27</v>
      </c>
      <c r="S364" s="12">
        <v>28</v>
      </c>
      <c r="T364" s="12">
        <v>27</v>
      </c>
      <c r="U364" s="5">
        <v>328</v>
      </c>
      <c r="V364" s="5" t="s">
        <v>16</v>
      </c>
      <c r="W364" s="13">
        <v>46253</v>
      </c>
      <c r="X364" s="12">
        <v>1968</v>
      </c>
      <c r="Y364" s="12">
        <v>3</v>
      </c>
      <c r="Z364" s="15" t="s">
        <v>535</v>
      </c>
      <c r="AT364" s="4"/>
      <c r="AU364" s="4"/>
      <c r="AV364" s="1"/>
    </row>
    <row r="365" spans="1:48" x14ac:dyDescent="0.3">
      <c r="A365" s="14">
        <v>364</v>
      </c>
      <c r="B365" s="12">
        <v>127164</v>
      </c>
      <c r="C365" s="12" t="s">
        <v>395</v>
      </c>
      <c r="D365" s="12" t="s">
        <v>6</v>
      </c>
      <c r="E365" s="12">
        <v>24</v>
      </c>
      <c r="F365" s="12" t="s">
        <v>555</v>
      </c>
      <c r="G365" s="12" t="s">
        <v>45</v>
      </c>
      <c r="H365" s="12" t="s">
        <v>28</v>
      </c>
      <c r="I365" s="12">
        <v>28</v>
      </c>
      <c r="J365" s="12">
        <v>28</v>
      </c>
      <c r="K365" s="12">
        <v>27</v>
      </c>
      <c r="L365" s="12">
        <v>27</v>
      </c>
      <c r="M365" s="12">
        <v>28</v>
      </c>
      <c r="N365" s="12">
        <v>27</v>
      </c>
      <c r="O365" s="12">
        <v>27</v>
      </c>
      <c r="P365" s="12">
        <v>28</v>
      </c>
      <c r="Q365" s="12">
        <v>27</v>
      </c>
      <c r="R365" s="12">
        <v>27</v>
      </c>
      <c r="S365" s="12">
        <v>27</v>
      </c>
      <c r="T365" s="12">
        <v>27</v>
      </c>
      <c r="U365" s="5">
        <v>328</v>
      </c>
      <c r="V365" s="5" t="s">
        <v>12</v>
      </c>
      <c r="W365" s="13">
        <v>46140</v>
      </c>
      <c r="X365" s="12">
        <v>1968</v>
      </c>
      <c r="Y365" s="12">
        <v>5</v>
      </c>
      <c r="Z365" s="15" t="s">
        <v>535</v>
      </c>
      <c r="AT365" s="4"/>
      <c r="AU365" s="4"/>
      <c r="AV365" s="1"/>
    </row>
    <row r="366" spans="1:48" x14ac:dyDescent="0.3">
      <c r="A366" s="14">
        <v>365</v>
      </c>
      <c r="B366" s="12">
        <v>127165</v>
      </c>
      <c r="C366" s="12" t="s">
        <v>396</v>
      </c>
      <c r="D366" s="12" t="s">
        <v>6</v>
      </c>
      <c r="E366" s="12">
        <v>38</v>
      </c>
      <c r="F366" s="12" t="s">
        <v>557</v>
      </c>
      <c r="G366" s="12" t="s">
        <v>45</v>
      </c>
      <c r="H366" s="12" t="s">
        <v>28</v>
      </c>
      <c r="I366" s="12">
        <v>28</v>
      </c>
      <c r="J366" s="12">
        <v>27</v>
      </c>
      <c r="K366" s="12">
        <v>27</v>
      </c>
      <c r="L366" s="12">
        <v>28</v>
      </c>
      <c r="M366" s="12">
        <v>28</v>
      </c>
      <c r="N366" s="12">
        <v>28</v>
      </c>
      <c r="O366" s="12">
        <v>27</v>
      </c>
      <c r="P366" s="12">
        <v>27</v>
      </c>
      <c r="Q366" s="12">
        <v>27</v>
      </c>
      <c r="R366" s="12">
        <v>27</v>
      </c>
      <c r="S366" s="12">
        <v>27</v>
      </c>
      <c r="T366" s="12">
        <v>27</v>
      </c>
      <c r="U366" s="5">
        <v>328</v>
      </c>
      <c r="V366" s="5" t="s">
        <v>9</v>
      </c>
      <c r="W366" s="13">
        <v>46026</v>
      </c>
      <c r="X366" s="12">
        <v>1968</v>
      </c>
      <c r="Y366" s="12">
        <v>4</v>
      </c>
      <c r="Z366" s="15" t="s">
        <v>536</v>
      </c>
      <c r="AT366" s="4"/>
      <c r="AU366" s="4"/>
      <c r="AV366" s="1"/>
    </row>
    <row r="367" spans="1:48" x14ac:dyDescent="0.3">
      <c r="A367" s="14">
        <v>366</v>
      </c>
      <c r="B367" s="12">
        <v>127166</v>
      </c>
      <c r="C367" s="12" t="s">
        <v>397</v>
      </c>
      <c r="D367" s="12" t="s">
        <v>7</v>
      </c>
      <c r="E367" s="12">
        <v>44</v>
      </c>
      <c r="F367" s="12" t="s">
        <v>557</v>
      </c>
      <c r="G367" s="12" t="s">
        <v>25</v>
      </c>
      <c r="H367" s="12" t="s">
        <v>31</v>
      </c>
      <c r="I367" s="12">
        <v>28</v>
      </c>
      <c r="J367" s="12">
        <v>28</v>
      </c>
      <c r="K367" s="12">
        <v>28</v>
      </c>
      <c r="L367" s="12">
        <v>28</v>
      </c>
      <c r="M367" s="12">
        <v>28</v>
      </c>
      <c r="N367" s="12">
        <v>28</v>
      </c>
      <c r="O367" s="12">
        <v>27</v>
      </c>
      <c r="P367" s="12">
        <v>28</v>
      </c>
      <c r="Q367" s="12">
        <v>27</v>
      </c>
      <c r="R367" s="12">
        <v>27</v>
      </c>
      <c r="S367" s="12">
        <v>27</v>
      </c>
      <c r="T367" s="12">
        <v>28</v>
      </c>
      <c r="U367" s="5">
        <v>332</v>
      </c>
      <c r="V367" s="5" t="s">
        <v>16</v>
      </c>
      <c r="W367" s="13">
        <v>46260</v>
      </c>
      <c r="X367" s="12">
        <v>1992</v>
      </c>
      <c r="Y367" s="12">
        <v>3</v>
      </c>
      <c r="Z367" s="15" t="s">
        <v>535</v>
      </c>
      <c r="AT367" s="4"/>
      <c r="AU367" s="4"/>
      <c r="AV367" s="1"/>
    </row>
    <row r="368" spans="1:48" x14ac:dyDescent="0.3">
      <c r="A368" s="14">
        <v>367</v>
      </c>
      <c r="B368" s="12">
        <v>127167</v>
      </c>
      <c r="C368" s="12" t="s">
        <v>398</v>
      </c>
      <c r="D368" s="12" t="s">
        <v>6</v>
      </c>
      <c r="E368" s="12">
        <v>30</v>
      </c>
      <c r="F368" s="12" t="s">
        <v>556</v>
      </c>
      <c r="G368" s="12" t="s">
        <v>45</v>
      </c>
      <c r="H368" s="12" t="s">
        <v>28</v>
      </c>
      <c r="I368" s="12">
        <v>27</v>
      </c>
      <c r="J368" s="12">
        <v>28</v>
      </c>
      <c r="K368" s="12">
        <v>28</v>
      </c>
      <c r="L368" s="12">
        <v>27</v>
      </c>
      <c r="M368" s="12">
        <v>27</v>
      </c>
      <c r="N368" s="12">
        <v>28</v>
      </c>
      <c r="O368" s="12">
        <v>27</v>
      </c>
      <c r="P368" s="12">
        <v>28</v>
      </c>
      <c r="Q368" s="12">
        <v>27</v>
      </c>
      <c r="R368" s="12">
        <v>27</v>
      </c>
      <c r="S368" s="12">
        <v>28</v>
      </c>
      <c r="T368" s="12">
        <v>27</v>
      </c>
      <c r="U368" s="5">
        <v>329</v>
      </c>
      <c r="V368" s="5" t="s">
        <v>14</v>
      </c>
      <c r="W368" s="13">
        <v>46179</v>
      </c>
      <c r="X368" s="12">
        <v>1974</v>
      </c>
      <c r="Y368" s="12">
        <v>3</v>
      </c>
      <c r="Z368" s="15" t="s">
        <v>535</v>
      </c>
      <c r="AT368" s="4"/>
      <c r="AU368" s="4"/>
      <c r="AV368" s="1"/>
    </row>
    <row r="369" spans="1:48" x14ac:dyDescent="0.3">
      <c r="A369" s="14">
        <v>368</v>
      </c>
      <c r="B369" s="12">
        <v>127168</v>
      </c>
      <c r="C369" s="12" t="s">
        <v>399</v>
      </c>
      <c r="D369" s="12" t="s">
        <v>6</v>
      </c>
      <c r="E369" s="12">
        <v>31</v>
      </c>
      <c r="F369" s="12" t="s">
        <v>556</v>
      </c>
      <c r="G369" s="12" t="s">
        <v>38</v>
      </c>
      <c r="H369" s="12" t="s">
        <v>31</v>
      </c>
      <c r="I369" s="12">
        <v>27</v>
      </c>
      <c r="J369" s="12">
        <v>28</v>
      </c>
      <c r="K369" s="12">
        <v>27</v>
      </c>
      <c r="L369" s="12">
        <v>27</v>
      </c>
      <c r="M369" s="12">
        <v>28</v>
      </c>
      <c r="N369" s="12">
        <v>27</v>
      </c>
      <c r="O369" s="12">
        <v>27</v>
      </c>
      <c r="P369" s="12">
        <v>28</v>
      </c>
      <c r="Q369" s="12">
        <v>27</v>
      </c>
      <c r="R369" s="12">
        <v>28</v>
      </c>
      <c r="S369" s="12">
        <v>28</v>
      </c>
      <c r="T369" s="12">
        <v>28</v>
      </c>
      <c r="U369" s="5">
        <v>330</v>
      </c>
      <c r="V369" s="5" t="s">
        <v>10</v>
      </c>
      <c r="W369" s="13">
        <v>46078</v>
      </c>
      <c r="X369" s="12">
        <v>1980</v>
      </c>
      <c r="Y369" s="12">
        <v>4</v>
      </c>
      <c r="Z369" s="15" t="s">
        <v>535</v>
      </c>
      <c r="AT369" s="4"/>
      <c r="AU369" s="4"/>
      <c r="AV369" s="1"/>
    </row>
    <row r="370" spans="1:48" x14ac:dyDescent="0.3">
      <c r="A370" s="14">
        <v>369</v>
      </c>
      <c r="B370" s="12">
        <v>127169</v>
      </c>
      <c r="C370" s="12" t="s">
        <v>400</v>
      </c>
      <c r="D370" s="12" t="s">
        <v>6</v>
      </c>
      <c r="E370" s="12">
        <v>50</v>
      </c>
      <c r="F370" s="12" t="s">
        <v>558</v>
      </c>
      <c r="G370" s="12" t="s">
        <v>38</v>
      </c>
      <c r="H370" s="12" t="s">
        <v>28</v>
      </c>
      <c r="I370" s="12">
        <v>28</v>
      </c>
      <c r="J370" s="12">
        <v>27</v>
      </c>
      <c r="K370" s="12">
        <v>27</v>
      </c>
      <c r="L370" s="12">
        <v>27</v>
      </c>
      <c r="M370" s="12">
        <v>28</v>
      </c>
      <c r="N370" s="12">
        <v>28</v>
      </c>
      <c r="O370" s="12">
        <v>28</v>
      </c>
      <c r="P370" s="12">
        <v>28</v>
      </c>
      <c r="Q370" s="12">
        <v>27</v>
      </c>
      <c r="R370" s="12">
        <v>27</v>
      </c>
      <c r="S370" s="12">
        <v>27</v>
      </c>
      <c r="T370" s="12">
        <v>27</v>
      </c>
      <c r="U370" s="5">
        <v>329</v>
      </c>
      <c r="V370" s="5" t="s">
        <v>10</v>
      </c>
      <c r="W370" s="13">
        <v>46076</v>
      </c>
      <c r="X370" s="12">
        <v>1974</v>
      </c>
      <c r="Y370" s="12">
        <v>4</v>
      </c>
      <c r="Z370" s="15" t="s">
        <v>535</v>
      </c>
      <c r="AT370" s="4"/>
      <c r="AU370" s="4"/>
      <c r="AV370" s="1"/>
    </row>
    <row r="371" spans="1:48" x14ac:dyDescent="0.3">
      <c r="A371" s="14">
        <v>370</v>
      </c>
      <c r="B371" s="12">
        <v>127170</v>
      </c>
      <c r="C371" s="12" t="s">
        <v>401</v>
      </c>
      <c r="D371" s="12" t="s">
        <v>7</v>
      </c>
      <c r="E371" s="12">
        <v>19</v>
      </c>
      <c r="F371" s="12" t="s">
        <v>555</v>
      </c>
      <c r="G371" s="12" t="s">
        <v>35</v>
      </c>
      <c r="H371" s="12" t="s">
        <v>26</v>
      </c>
      <c r="I371" s="12">
        <v>27</v>
      </c>
      <c r="J371" s="12">
        <v>28</v>
      </c>
      <c r="K371" s="12">
        <v>27</v>
      </c>
      <c r="L371" s="12">
        <v>27</v>
      </c>
      <c r="M371" s="12">
        <v>28</v>
      </c>
      <c r="N371" s="12">
        <v>28</v>
      </c>
      <c r="O371" s="12">
        <v>27</v>
      </c>
      <c r="P371" s="12">
        <v>28</v>
      </c>
      <c r="Q371" s="12">
        <v>28</v>
      </c>
      <c r="R371" s="12">
        <v>28</v>
      </c>
      <c r="S371" s="12">
        <v>27</v>
      </c>
      <c r="T371" s="12">
        <v>28</v>
      </c>
      <c r="U371" s="5">
        <v>331</v>
      </c>
      <c r="V371" s="5" t="s">
        <v>13</v>
      </c>
      <c r="W371" s="13">
        <v>46144</v>
      </c>
      <c r="X371" s="12">
        <v>1986</v>
      </c>
      <c r="Y371" s="12">
        <v>5</v>
      </c>
      <c r="Z371" s="15" t="s">
        <v>536</v>
      </c>
      <c r="AT371" s="4"/>
      <c r="AU371" s="4"/>
      <c r="AV371" s="1"/>
    </row>
    <row r="372" spans="1:48" x14ac:dyDescent="0.3">
      <c r="A372" s="14">
        <v>371</v>
      </c>
      <c r="B372" s="12">
        <v>127171</v>
      </c>
      <c r="C372" s="12" t="s">
        <v>402</v>
      </c>
      <c r="D372" s="12" t="s">
        <v>6</v>
      </c>
      <c r="E372" s="12">
        <v>45</v>
      </c>
      <c r="F372" s="12" t="s">
        <v>557</v>
      </c>
      <c r="G372" s="12" t="s">
        <v>38</v>
      </c>
      <c r="H372" s="12" t="s">
        <v>28</v>
      </c>
      <c r="I372" s="12">
        <v>28</v>
      </c>
      <c r="J372" s="12">
        <v>27</v>
      </c>
      <c r="K372" s="12">
        <v>27</v>
      </c>
      <c r="L372" s="12">
        <v>28</v>
      </c>
      <c r="M372" s="12">
        <v>28</v>
      </c>
      <c r="N372" s="12">
        <v>28</v>
      </c>
      <c r="O372" s="12">
        <v>27</v>
      </c>
      <c r="P372" s="12">
        <v>28</v>
      </c>
      <c r="Q372" s="12">
        <v>27</v>
      </c>
      <c r="R372" s="12">
        <v>27</v>
      </c>
      <c r="S372" s="12">
        <v>28</v>
      </c>
      <c r="T372" s="12">
        <v>28</v>
      </c>
      <c r="U372" s="5">
        <v>331</v>
      </c>
      <c r="V372" s="5" t="s">
        <v>13</v>
      </c>
      <c r="W372" s="13">
        <v>46158</v>
      </c>
      <c r="X372" s="12">
        <v>1986</v>
      </c>
      <c r="Y372" s="12">
        <v>5</v>
      </c>
      <c r="Z372" s="15" t="s">
        <v>535</v>
      </c>
      <c r="AT372" s="4"/>
      <c r="AU372" s="4"/>
      <c r="AV372" s="1"/>
    </row>
    <row r="373" spans="1:48" x14ac:dyDescent="0.3">
      <c r="A373" s="14">
        <v>372</v>
      </c>
      <c r="B373" s="12">
        <v>127172</v>
      </c>
      <c r="C373" s="12" t="s">
        <v>403</v>
      </c>
      <c r="D373" s="12" t="s">
        <v>7</v>
      </c>
      <c r="E373" s="12">
        <v>28</v>
      </c>
      <c r="F373" s="12" t="s">
        <v>556</v>
      </c>
      <c r="G373" s="12" t="s">
        <v>38</v>
      </c>
      <c r="H373" s="12" t="s">
        <v>28</v>
      </c>
      <c r="I373" s="12">
        <v>28</v>
      </c>
      <c r="J373" s="12">
        <v>28</v>
      </c>
      <c r="K373" s="12">
        <v>28</v>
      </c>
      <c r="L373" s="12">
        <v>28</v>
      </c>
      <c r="M373" s="12">
        <v>28</v>
      </c>
      <c r="N373" s="12">
        <v>27</v>
      </c>
      <c r="O373" s="12">
        <v>27</v>
      </c>
      <c r="P373" s="12">
        <v>28</v>
      </c>
      <c r="Q373" s="12">
        <v>27</v>
      </c>
      <c r="R373" s="12">
        <v>28</v>
      </c>
      <c r="S373" s="12">
        <v>28</v>
      </c>
      <c r="T373" s="12">
        <v>27</v>
      </c>
      <c r="U373" s="5">
        <v>332</v>
      </c>
      <c r="V373" s="5" t="s">
        <v>16</v>
      </c>
      <c r="W373" s="13">
        <v>46244</v>
      </c>
      <c r="X373" s="12">
        <v>1992</v>
      </c>
      <c r="Y373" s="12">
        <v>4</v>
      </c>
      <c r="Z373" s="15" t="s">
        <v>536</v>
      </c>
      <c r="AT373" s="4"/>
      <c r="AU373" s="4"/>
      <c r="AV373" s="1"/>
    </row>
    <row r="374" spans="1:48" x14ac:dyDescent="0.3">
      <c r="A374" s="14">
        <v>373</v>
      </c>
      <c r="B374" s="12">
        <v>127173</v>
      </c>
      <c r="C374" s="12" t="s">
        <v>404</v>
      </c>
      <c r="D374" s="12" t="s">
        <v>7</v>
      </c>
      <c r="E374" s="12">
        <v>36</v>
      </c>
      <c r="F374" s="12" t="s">
        <v>557</v>
      </c>
      <c r="G374" s="12" t="s">
        <v>25</v>
      </c>
      <c r="H374" s="12" t="s">
        <v>26</v>
      </c>
      <c r="I374" s="12">
        <v>27</v>
      </c>
      <c r="J374" s="12">
        <v>28</v>
      </c>
      <c r="K374" s="12">
        <v>28</v>
      </c>
      <c r="L374" s="12">
        <v>28</v>
      </c>
      <c r="M374" s="12">
        <v>27</v>
      </c>
      <c r="N374" s="12">
        <v>27</v>
      </c>
      <c r="O374" s="12">
        <v>27</v>
      </c>
      <c r="P374" s="12">
        <v>28</v>
      </c>
      <c r="Q374" s="12">
        <v>28</v>
      </c>
      <c r="R374" s="12">
        <v>28</v>
      </c>
      <c r="S374" s="12">
        <v>28</v>
      </c>
      <c r="T374" s="12">
        <v>28</v>
      </c>
      <c r="U374" s="5">
        <v>332</v>
      </c>
      <c r="V374" s="5" t="s">
        <v>15</v>
      </c>
      <c r="W374" s="13">
        <v>46215</v>
      </c>
      <c r="X374" s="12">
        <v>1992</v>
      </c>
      <c r="Y374" s="12">
        <v>5</v>
      </c>
      <c r="Z374" s="15" t="s">
        <v>535</v>
      </c>
      <c r="AT374" s="4"/>
      <c r="AU374" s="4"/>
      <c r="AV374" s="1"/>
    </row>
    <row r="375" spans="1:48" x14ac:dyDescent="0.3">
      <c r="A375" s="14">
        <v>374</v>
      </c>
      <c r="B375" s="12">
        <v>127174</v>
      </c>
      <c r="C375" s="12" t="s">
        <v>405</v>
      </c>
      <c r="D375" s="12" t="s">
        <v>6</v>
      </c>
      <c r="E375" s="12">
        <v>19</v>
      </c>
      <c r="F375" s="12" t="s">
        <v>555</v>
      </c>
      <c r="G375" s="12" t="s">
        <v>45</v>
      </c>
      <c r="H375" s="12" t="s">
        <v>31</v>
      </c>
      <c r="I375" s="12">
        <v>27</v>
      </c>
      <c r="J375" s="12">
        <v>28</v>
      </c>
      <c r="K375" s="12">
        <v>28</v>
      </c>
      <c r="L375" s="12">
        <v>28</v>
      </c>
      <c r="M375" s="12">
        <v>27</v>
      </c>
      <c r="N375" s="12">
        <v>27</v>
      </c>
      <c r="O375" s="12">
        <v>28</v>
      </c>
      <c r="P375" s="12">
        <v>28</v>
      </c>
      <c r="Q375" s="12">
        <v>27</v>
      </c>
      <c r="R375" s="12">
        <v>27</v>
      </c>
      <c r="S375" s="12">
        <v>27</v>
      </c>
      <c r="T375" s="12">
        <v>28</v>
      </c>
      <c r="U375" s="5">
        <v>330</v>
      </c>
      <c r="V375" s="5" t="s">
        <v>12</v>
      </c>
      <c r="W375" s="13">
        <v>46123</v>
      </c>
      <c r="X375" s="12">
        <v>1980</v>
      </c>
      <c r="Y375" s="12">
        <v>3</v>
      </c>
      <c r="Z375" s="15" t="s">
        <v>536</v>
      </c>
      <c r="AT375" s="4"/>
      <c r="AU375" s="4"/>
      <c r="AV375" s="1"/>
    </row>
    <row r="376" spans="1:48" x14ac:dyDescent="0.3">
      <c r="A376" s="14">
        <v>375</v>
      </c>
      <c r="B376" s="12">
        <v>127175</v>
      </c>
      <c r="C376" s="12" t="s">
        <v>406</v>
      </c>
      <c r="D376" s="12" t="s">
        <v>6</v>
      </c>
      <c r="E376" s="12">
        <v>24</v>
      </c>
      <c r="F376" s="12" t="s">
        <v>555</v>
      </c>
      <c r="G376" s="12" t="s">
        <v>45</v>
      </c>
      <c r="H376" s="12" t="s">
        <v>28</v>
      </c>
      <c r="I376" s="12">
        <v>28</v>
      </c>
      <c r="J376" s="12">
        <v>27</v>
      </c>
      <c r="K376" s="12">
        <v>28</v>
      </c>
      <c r="L376" s="12">
        <v>28</v>
      </c>
      <c r="M376" s="12">
        <v>28</v>
      </c>
      <c r="N376" s="12">
        <v>27</v>
      </c>
      <c r="O376" s="12">
        <v>27</v>
      </c>
      <c r="P376" s="12">
        <v>27</v>
      </c>
      <c r="Q376" s="12">
        <v>27</v>
      </c>
      <c r="R376" s="12">
        <v>27</v>
      </c>
      <c r="S376" s="12">
        <v>27</v>
      </c>
      <c r="T376" s="12">
        <v>28</v>
      </c>
      <c r="U376" s="5">
        <v>329</v>
      </c>
      <c r="V376" s="5" t="s">
        <v>13</v>
      </c>
      <c r="W376" s="13">
        <v>46151</v>
      </c>
      <c r="X376" s="12">
        <v>1974</v>
      </c>
      <c r="Y376" s="12">
        <v>5</v>
      </c>
      <c r="Z376" s="15" t="s">
        <v>535</v>
      </c>
      <c r="AT376" s="4"/>
      <c r="AU376" s="4"/>
      <c r="AV376" s="1"/>
    </row>
    <row r="377" spans="1:48" x14ac:dyDescent="0.3">
      <c r="A377" s="14">
        <v>376</v>
      </c>
      <c r="B377" s="12">
        <v>127176</v>
      </c>
      <c r="C377" s="12" t="s">
        <v>407</v>
      </c>
      <c r="D377" s="12" t="s">
        <v>6</v>
      </c>
      <c r="E377" s="12">
        <v>38</v>
      </c>
      <c r="F377" s="12" t="s">
        <v>557</v>
      </c>
      <c r="G377" s="12" t="s">
        <v>35</v>
      </c>
      <c r="H377" s="12" t="s">
        <v>31</v>
      </c>
      <c r="I377" s="12">
        <v>28</v>
      </c>
      <c r="J377" s="12">
        <v>27</v>
      </c>
      <c r="K377" s="12">
        <v>28</v>
      </c>
      <c r="L377" s="12">
        <v>28</v>
      </c>
      <c r="M377" s="12">
        <v>27</v>
      </c>
      <c r="N377" s="12">
        <v>28</v>
      </c>
      <c r="O377" s="12">
        <v>28</v>
      </c>
      <c r="P377" s="12">
        <v>27</v>
      </c>
      <c r="Q377" s="12">
        <v>27</v>
      </c>
      <c r="R377" s="12">
        <v>27</v>
      </c>
      <c r="S377" s="12">
        <v>28</v>
      </c>
      <c r="T377" s="12">
        <v>28</v>
      </c>
      <c r="U377" s="5">
        <v>331</v>
      </c>
      <c r="V377" s="5" t="s">
        <v>14</v>
      </c>
      <c r="W377" s="13">
        <v>46190</v>
      </c>
      <c r="X377" s="12">
        <v>1986</v>
      </c>
      <c r="Y377" s="12">
        <v>5</v>
      </c>
      <c r="Z377" s="15" t="s">
        <v>536</v>
      </c>
      <c r="AT377" s="4"/>
      <c r="AU377" s="4"/>
      <c r="AV377" s="1"/>
    </row>
    <row r="378" spans="1:48" x14ac:dyDescent="0.3">
      <c r="A378" s="14">
        <v>377</v>
      </c>
      <c r="B378" s="12">
        <v>127177</v>
      </c>
      <c r="C378" s="12" t="s">
        <v>408</v>
      </c>
      <c r="D378" s="12" t="s">
        <v>6</v>
      </c>
      <c r="E378" s="12">
        <v>46</v>
      </c>
      <c r="F378" s="12" t="s">
        <v>558</v>
      </c>
      <c r="G378" s="12" t="s">
        <v>30</v>
      </c>
      <c r="H378" s="12" t="s">
        <v>26</v>
      </c>
      <c r="I378" s="12">
        <v>27</v>
      </c>
      <c r="J378" s="12">
        <v>27</v>
      </c>
      <c r="K378" s="12">
        <v>28</v>
      </c>
      <c r="L378" s="12">
        <v>28</v>
      </c>
      <c r="M378" s="12">
        <v>28</v>
      </c>
      <c r="N378" s="12">
        <v>28</v>
      </c>
      <c r="O378" s="12">
        <v>28</v>
      </c>
      <c r="P378" s="12">
        <v>27</v>
      </c>
      <c r="Q378" s="12">
        <v>28</v>
      </c>
      <c r="R378" s="12">
        <v>27</v>
      </c>
      <c r="S378" s="12">
        <v>28</v>
      </c>
      <c r="T378" s="12">
        <v>27</v>
      </c>
      <c r="U378" s="5">
        <v>331</v>
      </c>
      <c r="V378" s="5" t="s">
        <v>14</v>
      </c>
      <c r="W378" s="13">
        <v>46182</v>
      </c>
      <c r="X378" s="12">
        <v>1986</v>
      </c>
      <c r="Y378" s="12">
        <v>3</v>
      </c>
      <c r="Z378" s="15" t="s">
        <v>535</v>
      </c>
      <c r="AT378" s="4"/>
      <c r="AU378" s="4"/>
      <c r="AV378" s="1"/>
    </row>
    <row r="379" spans="1:48" x14ac:dyDescent="0.3">
      <c r="A379" s="14">
        <v>378</v>
      </c>
      <c r="B379" s="12">
        <v>127178</v>
      </c>
      <c r="C379" s="12" t="s">
        <v>409</v>
      </c>
      <c r="D379" s="12" t="s">
        <v>6</v>
      </c>
      <c r="E379" s="12">
        <v>20</v>
      </c>
      <c r="F379" s="12" t="s">
        <v>555</v>
      </c>
      <c r="G379" s="12" t="s">
        <v>35</v>
      </c>
      <c r="H379" s="12" t="s">
        <v>31</v>
      </c>
      <c r="I379" s="12">
        <v>27</v>
      </c>
      <c r="J379" s="12">
        <v>27</v>
      </c>
      <c r="K379" s="12">
        <v>27</v>
      </c>
      <c r="L379" s="12">
        <v>28</v>
      </c>
      <c r="M379" s="12">
        <v>27</v>
      </c>
      <c r="N379" s="12">
        <v>28</v>
      </c>
      <c r="O379" s="12">
        <v>28</v>
      </c>
      <c r="P379" s="12">
        <v>27</v>
      </c>
      <c r="Q379" s="12">
        <v>28</v>
      </c>
      <c r="R379" s="12">
        <v>27</v>
      </c>
      <c r="S379" s="12">
        <v>27</v>
      </c>
      <c r="T379" s="12">
        <v>28</v>
      </c>
      <c r="U379" s="5">
        <v>329</v>
      </c>
      <c r="V379" s="5" t="s">
        <v>15</v>
      </c>
      <c r="W379" s="13">
        <v>46229</v>
      </c>
      <c r="X379" s="12">
        <v>1974</v>
      </c>
      <c r="Y379" s="12">
        <v>5</v>
      </c>
      <c r="Z379" s="15" t="s">
        <v>536</v>
      </c>
      <c r="AT379" s="4"/>
      <c r="AU379" s="4"/>
      <c r="AV379" s="1"/>
    </row>
    <row r="380" spans="1:48" x14ac:dyDescent="0.3">
      <c r="A380" s="14">
        <v>379</v>
      </c>
      <c r="B380" s="12">
        <v>127179</v>
      </c>
      <c r="C380" s="12" t="s">
        <v>410</v>
      </c>
      <c r="D380" s="12" t="s">
        <v>6</v>
      </c>
      <c r="E380" s="12">
        <v>32</v>
      </c>
      <c r="F380" s="12" t="s">
        <v>556</v>
      </c>
      <c r="G380" s="12" t="s">
        <v>45</v>
      </c>
      <c r="H380" s="12" t="s">
        <v>31</v>
      </c>
      <c r="I380" s="12">
        <v>28</v>
      </c>
      <c r="J380" s="12">
        <v>28</v>
      </c>
      <c r="K380" s="12">
        <v>28</v>
      </c>
      <c r="L380" s="12">
        <v>28</v>
      </c>
      <c r="M380" s="12">
        <v>28</v>
      </c>
      <c r="N380" s="12">
        <v>27</v>
      </c>
      <c r="O380" s="12">
        <v>27</v>
      </c>
      <c r="P380" s="12">
        <v>28</v>
      </c>
      <c r="Q380" s="12">
        <v>27</v>
      </c>
      <c r="R380" s="12">
        <v>27</v>
      </c>
      <c r="S380" s="12">
        <v>27</v>
      </c>
      <c r="T380" s="12">
        <v>28</v>
      </c>
      <c r="U380" s="5">
        <v>331</v>
      </c>
      <c r="V380" s="5" t="s">
        <v>15</v>
      </c>
      <c r="W380" s="13">
        <v>46224</v>
      </c>
      <c r="X380" s="12">
        <v>1986</v>
      </c>
      <c r="Y380" s="12">
        <v>5</v>
      </c>
      <c r="Z380" s="15" t="s">
        <v>536</v>
      </c>
      <c r="AT380" s="4"/>
      <c r="AU380" s="4"/>
      <c r="AV380" s="1"/>
    </row>
    <row r="381" spans="1:48" x14ac:dyDescent="0.3">
      <c r="A381" s="14">
        <v>380</v>
      </c>
      <c r="B381" s="12">
        <v>127180</v>
      </c>
      <c r="C381" s="12" t="s">
        <v>411</v>
      </c>
      <c r="D381" s="12" t="s">
        <v>6</v>
      </c>
      <c r="E381" s="12">
        <v>34</v>
      </c>
      <c r="F381" s="12" t="s">
        <v>556</v>
      </c>
      <c r="G381" s="12" t="s">
        <v>45</v>
      </c>
      <c r="H381" s="12" t="s">
        <v>28</v>
      </c>
      <c r="I381" s="12">
        <v>28</v>
      </c>
      <c r="J381" s="12">
        <v>28</v>
      </c>
      <c r="K381" s="12">
        <v>28</v>
      </c>
      <c r="L381" s="12">
        <v>27</v>
      </c>
      <c r="M381" s="12">
        <v>28</v>
      </c>
      <c r="N381" s="12">
        <v>27</v>
      </c>
      <c r="O381" s="12">
        <v>28</v>
      </c>
      <c r="P381" s="12">
        <v>28</v>
      </c>
      <c r="Q381" s="12">
        <v>28</v>
      </c>
      <c r="R381" s="12">
        <v>27</v>
      </c>
      <c r="S381" s="12">
        <v>28</v>
      </c>
      <c r="T381" s="12">
        <v>28</v>
      </c>
      <c r="U381" s="5">
        <v>333</v>
      </c>
      <c r="V381" s="5" t="s">
        <v>12</v>
      </c>
      <c r="W381" s="13">
        <v>46132</v>
      </c>
      <c r="X381" s="12">
        <v>1998</v>
      </c>
      <c r="Y381" s="12">
        <v>5</v>
      </c>
      <c r="Z381" s="15" t="s">
        <v>536</v>
      </c>
      <c r="AT381" s="4"/>
      <c r="AU381" s="4"/>
      <c r="AV381" s="1"/>
    </row>
    <row r="382" spans="1:48" x14ac:dyDescent="0.3">
      <c r="A382" s="14">
        <v>381</v>
      </c>
      <c r="B382" s="12">
        <v>127181</v>
      </c>
      <c r="C382" s="12" t="s">
        <v>412</v>
      </c>
      <c r="D382" s="12" t="s">
        <v>7</v>
      </c>
      <c r="E382" s="12">
        <v>44</v>
      </c>
      <c r="F382" s="12" t="s">
        <v>557</v>
      </c>
      <c r="G382" s="12" t="s">
        <v>30</v>
      </c>
      <c r="H382" s="12" t="s">
        <v>26</v>
      </c>
      <c r="I382" s="12">
        <v>28</v>
      </c>
      <c r="J382" s="12">
        <v>28</v>
      </c>
      <c r="K382" s="12">
        <v>27</v>
      </c>
      <c r="L382" s="12">
        <v>28</v>
      </c>
      <c r="M382" s="12">
        <v>28</v>
      </c>
      <c r="N382" s="12">
        <v>27</v>
      </c>
      <c r="O382" s="12">
        <v>28</v>
      </c>
      <c r="P382" s="12">
        <v>28</v>
      </c>
      <c r="Q382" s="12">
        <v>27</v>
      </c>
      <c r="R382" s="12">
        <v>28</v>
      </c>
      <c r="S382" s="12">
        <v>28</v>
      </c>
      <c r="T382" s="12">
        <v>27</v>
      </c>
      <c r="U382" s="5">
        <v>332</v>
      </c>
      <c r="V382" s="5" t="s">
        <v>14</v>
      </c>
      <c r="W382" s="13">
        <v>46181</v>
      </c>
      <c r="X382" s="12">
        <v>1992</v>
      </c>
      <c r="Y382" s="12">
        <v>5</v>
      </c>
      <c r="Z382" s="15" t="s">
        <v>535</v>
      </c>
      <c r="AT382" s="4"/>
      <c r="AU382" s="4"/>
      <c r="AV382" s="1"/>
    </row>
    <row r="383" spans="1:48" x14ac:dyDescent="0.3">
      <c r="A383" s="14">
        <v>382</v>
      </c>
      <c r="B383" s="12">
        <v>127182</v>
      </c>
      <c r="C383" s="12" t="s">
        <v>413</v>
      </c>
      <c r="D383" s="12" t="s">
        <v>7</v>
      </c>
      <c r="E383" s="12">
        <v>45</v>
      </c>
      <c r="F383" s="12" t="s">
        <v>557</v>
      </c>
      <c r="G383" s="12" t="s">
        <v>30</v>
      </c>
      <c r="H383" s="12" t="s">
        <v>28</v>
      </c>
      <c r="I383" s="12">
        <v>28</v>
      </c>
      <c r="J383" s="12">
        <v>27</v>
      </c>
      <c r="K383" s="12">
        <v>28</v>
      </c>
      <c r="L383" s="12">
        <v>28</v>
      </c>
      <c r="M383" s="12">
        <v>27</v>
      </c>
      <c r="N383" s="12">
        <v>27</v>
      </c>
      <c r="O383" s="12">
        <v>27</v>
      </c>
      <c r="P383" s="12">
        <v>28</v>
      </c>
      <c r="Q383" s="12">
        <v>28</v>
      </c>
      <c r="R383" s="12">
        <v>28</v>
      </c>
      <c r="S383" s="12">
        <v>27</v>
      </c>
      <c r="T383" s="12">
        <v>28</v>
      </c>
      <c r="U383" s="5">
        <v>331</v>
      </c>
      <c r="V383" s="5" t="s">
        <v>13</v>
      </c>
      <c r="W383" s="13">
        <v>46166</v>
      </c>
      <c r="X383" s="12">
        <v>1986</v>
      </c>
      <c r="Y383" s="12">
        <v>3</v>
      </c>
      <c r="Z383" s="15" t="s">
        <v>536</v>
      </c>
      <c r="AT383" s="4"/>
      <c r="AU383" s="4"/>
      <c r="AV383" s="1"/>
    </row>
    <row r="384" spans="1:48" x14ac:dyDescent="0.3">
      <c r="A384" s="14">
        <v>383</v>
      </c>
      <c r="B384" s="12">
        <v>127183</v>
      </c>
      <c r="C384" s="12" t="s">
        <v>414</v>
      </c>
      <c r="D384" s="12" t="s">
        <v>6</v>
      </c>
      <c r="E384" s="12">
        <v>27</v>
      </c>
      <c r="F384" s="12" t="s">
        <v>556</v>
      </c>
      <c r="G384" s="12" t="s">
        <v>38</v>
      </c>
      <c r="H384" s="12" t="s">
        <v>31</v>
      </c>
      <c r="I384" s="12">
        <v>27</v>
      </c>
      <c r="J384" s="12">
        <v>27</v>
      </c>
      <c r="K384" s="12">
        <v>28</v>
      </c>
      <c r="L384" s="12">
        <v>28</v>
      </c>
      <c r="M384" s="12">
        <v>28</v>
      </c>
      <c r="N384" s="12">
        <v>27</v>
      </c>
      <c r="O384" s="12">
        <v>28</v>
      </c>
      <c r="P384" s="12">
        <v>28</v>
      </c>
      <c r="Q384" s="12">
        <v>27</v>
      </c>
      <c r="R384" s="12">
        <v>27</v>
      </c>
      <c r="S384" s="12">
        <v>27</v>
      </c>
      <c r="T384" s="12">
        <v>28</v>
      </c>
      <c r="U384" s="5">
        <v>330</v>
      </c>
      <c r="V384" s="5" t="s">
        <v>12</v>
      </c>
      <c r="W384" s="13">
        <v>46126</v>
      </c>
      <c r="X384" s="12">
        <v>1980</v>
      </c>
      <c r="Y384" s="12">
        <v>4</v>
      </c>
      <c r="Z384" s="15" t="s">
        <v>536</v>
      </c>
      <c r="AT384" s="4"/>
      <c r="AU384" s="4"/>
      <c r="AV384" s="1"/>
    </row>
    <row r="385" spans="1:48" x14ac:dyDescent="0.3">
      <c r="A385" s="14">
        <v>384</v>
      </c>
      <c r="B385" s="12">
        <v>127184</v>
      </c>
      <c r="C385" s="12" t="s">
        <v>415</v>
      </c>
      <c r="D385" s="12" t="s">
        <v>6</v>
      </c>
      <c r="E385" s="12">
        <v>24</v>
      </c>
      <c r="F385" s="12" t="s">
        <v>555</v>
      </c>
      <c r="G385" s="12" t="s">
        <v>30</v>
      </c>
      <c r="H385" s="12" t="s">
        <v>26</v>
      </c>
      <c r="I385" s="12">
        <v>28</v>
      </c>
      <c r="J385" s="12">
        <v>27</v>
      </c>
      <c r="K385" s="12">
        <v>28</v>
      </c>
      <c r="L385" s="12">
        <v>28</v>
      </c>
      <c r="M385" s="12">
        <v>27</v>
      </c>
      <c r="N385" s="12">
        <v>28</v>
      </c>
      <c r="O385" s="12">
        <v>27</v>
      </c>
      <c r="P385" s="12">
        <v>28</v>
      </c>
      <c r="Q385" s="12">
        <v>28</v>
      </c>
      <c r="R385" s="12">
        <v>28</v>
      </c>
      <c r="S385" s="12">
        <v>27</v>
      </c>
      <c r="T385" s="12">
        <v>27</v>
      </c>
      <c r="U385" s="5">
        <v>331</v>
      </c>
      <c r="V385" s="5" t="s">
        <v>9</v>
      </c>
      <c r="W385" s="13">
        <v>46042</v>
      </c>
      <c r="X385" s="12">
        <v>1986</v>
      </c>
      <c r="Y385" s="12">
        <v>3</v>
      </c>
      <c r="Z385" s="15" t="s">
        <v>535</v>
      </c>
      <c r="AT385" s="4"/>
      <c r="AU385" s="4"/>
      <c r="AV385" s="1"/>
    </row>
    <row r="386" spans="1:48" x14ac:dyDescent="0.3">
      <c r="A386" s="14">
        <v>385</v>
      </c>
      <c r="B386" s="12">
        <v>127185</v>
      </c>
      <c r="C386" s="12" t="s">
        <v>416</v>
      </c>
      <c r="D386" s="12" t="s">
        <v>6</v>
      </c>
      <c r="E386" s="12">
        <v>25</v>
      </c>
      <c r="F386" s="12" t="s">
        <v>555</v>
      </c>
      <c r="G386" s="12" t="s">
        <v>25</v>
      </c>
      <c r="H386" s="12" t="s">
        <v>31</v>
      </c>
      <c r="I386" s="12">
        <v>28</v>
      </c>
      <c r="J386" s="12">
        <v>27</v>
      </c>
      <c r="K386" s="12">
        <v>28</v>
      </c>
      <c r="L386" s="12">
        <v>28</v>
      </c>
      <c r="M386" s="12">
        <v>27</v>
      </c>
      <c r="N386" s="12">
        <v>27</v>
      </c>
      <c r="O386" s="12">
        <v>28</v>
      </c>
      <c r="P386" s="12">
        <v>27</v>
      </c>
      <c r="Q386" s="12">
        <v>27</v>
      </c>
      <c r="R386" s="12">
        <v>28</v>
      </c>
      <c r="S386" s="12">
        <v>27</v>
      </c>
      <c r="T386" s="12">
        <v>28</v>
      </c>
      <c r="U386" s="5">
        <v>330</v>
      </c>
      <c r="V386" s="5" t="s">
        <v>16</v>
      </c>
      <c r="W386" s="13">
        <v>46239</v>
      </c>
      <c r="X386" s="12">
        <v>1980</v>
      </c>
      <c r="Y386" s="12">
        <v>3</v>
      </c>
      <c r="Z386" s="15" t="s">
        <v>536</v>
      </c>
      <c r="AT386" s="4"/>
      <c r="AU386" s="4"/>
      <c r="AV386" s="1"/>
    </row>
    <row r="387" spans="1:48" x14ac:dyDescent="0.3">
      <c r="A387" s="14">
        <v>386</v>
      </c>
      <c r="B387" s="12">
        <v>127186</v>
      </c>
      <c r="C387" s="12" t="s">
        <v>417</v>
      </c>
      <c r="D387" s="12" t="s">
        <v>6</v>
      </c>
      <c r="E387" s="12">
        <v>27</v>
      </c>
      <c r="F387" s="12" t="s">
        <v>556</v>
      </c>
      <c r="G387" s="12" t="s">
        <v>38</v>
      </c>
      <c r="H387" s="12" t="s">
        <v>26</v>
      </c>
      <c r="I387" s="12">
        <v>27</v>
      </c>
      <c r="J387" s="12">
        <v>27</v>
      </c>
      <c r="K387" s="12">
        <v>27</v>
      </c>
      <c r="L387" s="12">
        <v>27</v>
      </c>
      <c r="M387" s="12">
        <v>27</v>
      </c>
      <c r="N387" s="12">
        <v>27</v>
      </c>
      <c r="O387" s="12">
        <v>27</v>
      </c>
      <c r="P387" s="12">
        <v>27</v>
      </c>
      <c r="Q387" s="12">
        <v>28</v>
      </c>
      <c r="R387" s="12">
        <v>28</v>
      </c>
      <c r="S387" s="12">
        <v>28</v>
      </c>
      <c r="T387" s="12">
        <v>28</v>
      </c>
      <c r="U387" s="5">
        <v>328</v>
      </c>
      <c r="V387" s="5" t="s">
        <v>16</v>
      </c>
      <c r="W387" s="13">
        <v>46244</v>
      </c>
      <c r="X387" s="12">
        <v>1968</v>
      </c>
      <c r="Y387" s="12">
        <v>4</v>
      </c>
      <c r="Z387" s="15" t="s">
        <v>535</v>
      </c>
      <c r="AT387" s="4"/>
      <c r="AU387" s="4"/>
      <c r="AV387" s="1"/>
    </row>
    <row r="388" spans="1:48" x14ac:dyDescent="0.3">
      <c r="A388" s="14">
        <v>387</v>
      </c>
      <c r="B388" s="12">
        <v>127187</v>
      </c>
      <c r="C388" s="12" t="s">
        <v>418</v>
      </c>
      <c r="D388" s="12" t="s">
        <v>6</v>
      </c>
      <c r="E388" s="12">
        <v>42</v>
      </c>
      <c r="F388" s="12" t="s">
        <v>557</v>
      </c>
      <c r="G388" s="12" t="s">
        <v>30</v>
      </c>
      <c r="H388" s="12" t="s">
        <v>26</v>
      </c>
      <c r="I388" s="12">
        <v>27</v>
      </c>
      <c r="J388" s="12">
        <v>27</v>
      </c>
      <c r="K388" s="12">
        <v>27</v>
      </c>
      <c r="L388" s="12">
        <v>28</v>
      </c>
      <c r="M388" s="12">
        <v>28</v>
      </c>
      <c r="N388" s="12">
        <v>28</v>
      </c>
      <c r="O388" s="12">
        <v>28</v>
      </c>
      <c r="P388" s="12">
        <v>27</v>
      </c>
      <c r="Q388" s="12">
        <v>27</v>
      </c>
      <c r="R388" s="12">
        <v>27</v>
      </c>
      <c r="S388" s="12">
        <v>28</v>
      </c>
      <c r="T388" s="12">
        <v>27</v>
      </c>
      <c r="U388" s="5">
        <v>329</v>
      </c>
      <c r="V388" s="5" t="s">
        <v>9</v>
      </c>
      <c r="W388" s="13">
        <v>46042</v>
      </c>
      <c r="X388" s="12">
        <v>1974</v>
      </c>
      <c r="Y388" s="12">
        <v>4</v>
      </c>
      <c r="Z388" s="15" t="s">
        <v>536</v>
      </c>
      <c r="AT388" s="4"/>
      <c r="AU388" s="4"/>
      <c r="AV388" s="1"/>
    </row>
    <row r="389" spans="1:48" x14ac:dyDescent="0.3">
      <c r="A389" s="14">
        <v>388</v>
      </c>
      <c r="B389" s="12">
        <v>127188</v>
      </c>
      <c r="C389" s="12" t="s">
        <v>419</v>
      </c>
      <c r="D389" s="12" t="s">
        <v>7</v>
      </c>
      <c r="E389" s="12">
        <v>49</v>
      </c>
      <c r="F389" s="12" t="s">
        <v>558</v>
      </c>
      <c r="G389" s="12" t="s">
        <v>30</v>
      </c>
      <c r="H389" s="12" t="s">
        <v>28</v>
      </c>
      <c r="I389" s="12">
        <v>27</v>
      </c>
      <c r="J389" s="12">
        <v>27</v>
      </c>
      <c r="K389" s="12">
        <v>28</v>
      </c>
      <c r="L389" s="12">
        <v>27</v>
      </c>
      <c r="M389" s="12">
        <v>28</v>
      </c>
      <c r="N389" s="12">
        <v>27</v>
      </c>
      <c r="O389" s="12">
        <v>27</v>
      </c>
      <c r="P389" s="12">
        <v>28</v>
      </c>
      <c r="Q389" s="12">
        <v>28</v>
      </c>
      <c r="R389" s="12">
        <v>28</v>
      </c>
      <c r="S389" s="12">
        <v>28</v>
      </c>
      <c r="T389" s="12">
        <v>27</v>
      </c>
      <c r="U389" s="5">
        <v>330</v>
      </c>
      <c r="V389" s="5" t="s">
        <v>17</v>
      </c>
      <c r="W389" s="13">
        <v>46271</v>
      </c>
      <c r="X389" s="12">
        <v>1980</v>
      </c>
      <c r="Y389" s="12">
        <v>4</v>
      </c>
      <c r="Z389" s="15" t="s">
        <v>535</v>
      </c>
      <c r="AT389" s="4"/>
      <c r="AU389" s="4"/>
      <c r="AV389" s="1"/>
    </row>
    <row r="390" spans="1:48" x14ac:dyDescent="0.3">
      <c r="A390" s="14">
        <v>389</v>
      </c>
      <c r="B390" s="12">
        <v>127189</v>
      </c>
      <c r="C390" s="12" t="s">
        <v>420</v>
      </c>
      <c r="D390" s="12" t="s">
        <v>6</v>
      </c>
      <c r="E390" s="12">
        <v>42</v>
      </c>
      <c r="F390" s="12" t="s">
        <v>557</v>
      </c>
      <c r="G390" s="12" t="s">
        <v>45</v>
      </c>
      <c r="H390" s="12" t="s">
        <v>28</v>
      </c>
      <c r="I390" s="12">
        <v>27</v>
      </c>
      <c r="J390" s="12">
        <v>28</v>
      </c>
      <c r="K390" s="12">
        <v>27</v>
      </c>
      <c r="L390" s="12">
        <v>27</v>
      </c>
      <c r="M390" s="12">
        <v>28</v>
      </c>
      <c r="N390" s="12">
        <v>27</v>
      </c>
      <c r="O390" s="12">
        <v>27</v>
      </c>
      <c r="P390" s="12">
        <v>28</v>
      </c>
      <c r="Q390" s="12">
        <v>27</v>
      </c>
      <c r="R390" s="12">
        <v>28</v>
      </c>
      <c r="S390" s="12">
        <v>28</v>
      </c>
      <c r="T390" s="12">
        <v>27</v>
      </c>
      <c r="U390" s="5">
        <v>329</v>
      </c>
      <c r="V390" s="5" t="s">
        <v>14</v>
      </c>
      <c r="W390" s="13">
        <v>46180</v>
      </c>
      <c r="X390" s="12">
        <v>1974</v>
      </c>
      <c r="Y390" s="12">
        <v>3</v>
      </c>
      <c r="Z390" s="15" t="s">
        <v>536</v>
      </c>
      <c r="AT390" s="4"/>
      <c r="AU390" s="4"/>
      <c r="AV390" s="1"/>
    </row>
    <row r="391" spans="1:48" x14ac:dyDescent="0.3">
      <c r="A391" s="14">
        <v>390</v>
      </c>
      <c r="B391" s="12">
        <v>127190</v>
      </c>
      <c r="C391" s="12" t="s">
        <v>421</v>
      </c>
      <c r="D391" s="12" t="s">
        <v>6</v>
      </c>
      <c r="E391" s="12">
        <v>37</v>
      </c>
      <c r="F391" s="12" t="s">
        <v>557</v>
      </c>
      <c r="G391" s="12" t="s">
        <v>30</v>
      </c>
      <c r="H391" s="12" t="s">
        <v>28</v>
      </c>
      <c r="I391" s="12">
        <v>28</v>
      </c>
      <c r="J391" s="12">
        <v>27</v>
      </c>
      <c r="K391" s="12">
        <v>27</v>
      </c>
      <c r="L391" s="12">
        <v>27</v>
      </c>
      <c r="M391" s="12">
        <v>27</v>
      </c>
      <c r="N391" s="12">
        <v>28</v>
      </c>
      <c r="O391" s="12">
        <v>27</v>
      </c>
      <c r="P391" s="12">
        <v>27</v>
      </c>
      <c r="Q391" s="12">
        <v>28</v>
      </c>
      <c r="R391" s="12">
        <v>28</v>
      </c>
      <c r="S391" s="12">
        <v>27</v>
      </c>
      <c r="T391" s="12">
        <v>28</v>
      </c>
      <c r="U391" s="5">
        <v>329</v>
      </c>
      <c r="V391" s="5" t="s">
        <v>10</v>
      </c>
      <c r="W391" s="13">
        <v>46068</v>
      </c>
      <c r="X391" s="12">
        <v>1974</v>
      </c>
      <c r="Y391" s="12">
        <v>3</v>
      </c>
      <c r="Z391" s="15" t="s">
        <v>536</v>
      </c>
      <c r="AT391" s="4"/>
      <c r="AU391" s="4"/>
      <c r="AV391" s="1"/>
    </row>
    <row r="392" spans="1:48" x14ac:dyDescent="0.3">
      <c r="A392" s="14">
        <v>391</v>
      </c>
      <c r="B392" s="12">
        <v>127191</v>
      </c>
      <c r="C392" s="12" t="s">
        <v>422</v>
      </c>
      <c r="D392" s="12" t="s">
        <v>6</v>
      </c>
      <c r="E392" s="12">
        <v>42</v>
      </c>
      <c r="F392" s="12" t="s">
        <v>557</v>
      </c>
      <c r="G392" s="12" t="s">
        <v>45</v>
      </c>
      <c r="H392" s="12" t="s">
        <v>28</v>
      </c>
      <c r="I392" s="12">
        <v>27</v>
      </c>
      <c r="J392" s="12">
        <v>27</v>
      </c>
      <c r="K392" s="12">
        <v>27</v>
      </c>
      <c r="L392" s="12">
        <v>28</v>
      </c>
      <c r="M392" s="12">
        <v>28</v>
      </c>
      <c r="N392" s="12">
        <v>28</v>
      </c>
      <c r="O392" s="12">
        <v>28</v>
      </c>
      <c r="P392" s="12">
        <v>28</v>
      </c>
      <c r="Q392" s="12">
        <v>28</v>
      </c>
      <c r="R392" s="12">
        <v>27</v>
      </c>
      <c r="S392" s="12">
        <v>28</v>
      </c>
      <c r="T392" s="12">
        <v>28</v>
      </c>
      <c r="U392" s="5">
        <v>332</v>
      </c>
      <c r="V392" s="5" t="s">
        <v>10</v>
      </c>
      <c r="W392" s="13">
        <v>46078</v>
      </c>
      <c r="X392" s="12">
        <v>1992</v>
      </c>
      <c r="Y392" s="12">
        <v>5</v>
      </c>
      <c r="Z392" s="15" t="s">
        <v>535</v>
      </c>
      <c r="AT392" s="4"/>
      <c r="AU392" s="4"/>
      <c r="AV392" s="1"/>
    </row>
    <row r="393" spans="1:48" x14ac:dyDescent="0.3">
      <c r="A393" s="14">
        <v>392</v>
      </c>
      <c r="B393" s="12">
        <v>127192</v>
      </c>
      <c r="C393" s="12" t="s">
        <v>423</v>
      </c>
      <c r="D393" s="12" t="s">
        <v>7</v>
      </c>
      <c r="E393" s="12">
        <v>34</v>
      </c>
      <c r="F393" s="12" t="s">
        <v>556</v>
      </c>
      <c r="G393" s="12" t="s">
        <v>30</v>
      </c>
      <c r="H393" s="12" t="s">
        <v>26</v>
      </c>
      <c r="I393" s="12">
        <v>28</v>
      </c>
      <c r="J393" s="12">
        <v>27</v>
      </c>
      <c r="K393" s="12">
        <v>27</v>
      </c>
      <c r="L393" s="12">
        <v>27</v>
      </c>
      <c r="M393" s="12">
        <v>28</v>
      </c>
      <c r="N393" s="12">
        <v>27</v>
      </c>
      <c r="O393" s="12">
        <v>27</v>
      </c>
      <c r="P393" s="12">
        <v>27</v>
      </c>
      <c r="Q393" s="12">
        <v>27</v>
      </c>
      <c r="R393" s="12">
        <v>28</v>
      </c>
      <c r="S393" s="12">
        <v>27</v>
      </c>
      <c r="T393" s="12">
        <v>27</v>
      </c>
      <c r="U393" s="5">
        <v>327</v>
      </c>
      <c r="V393" s="5" t="s">
        <v>14</v>
      </c>
      <c r="W393" s="13">
        <v>46202</v>
      </c>
      <c r="X393" s="12">
        <v>1962</v>
      </c>
      <c r="Y393" s="12">
        <v>4</v>
      </c>
      <c r="Z393" s="15" t="s">
        <v>535</v>
      </c>
      <c r="AT393" s="4"/>
      <c r="AU393" s="4"/>
      <c r="AV393" s="1"/>
    </row>
    <row r="394" spans="1:48" x14ac:dyDescent="0.3">
      <c r="A394" s="14">
        <v>393</v>
      </c>
      <c r="B394" s="12">
        <v>127193</v>
      </c>
      <c r="C394" s="12" t="s">
        <v>424</v>
      </c>
      <c r="D394" s="12" t="s">
        <v>6</v>
      </c>
      <c r="E394" s="12">
        <v>25</v>
      </c>
      <c r="F394" s="12" t="s">
        <v>555</v>
      </c>
      <c r="G394" s="12" t="s">
        <v>45</v>
      </c>
      <c r="H394" s="12" t="s">
        <v>26</v>
      </c>
      <c r="I394" s="12">
        <v>28</v>
      </c>
      <c r="J394" s="12">
        <v>27</v>
      </c>
      <c r="K394" s="12">
        <v>27</v>
      </c>
      <c r="L394" s="12">
        <v>27</v>
      </c>
      <c r="M394" s="12">
        <v>28</v>
      </c>
      <c r="N394" s="12">
        <v>28</v>
      </c>
      <c r="O394" s="12">
        <v>27</v>
      </c>
      <c r="P394" s="12">
        <v>28</v>
      </c>
      <c r="Q394" s="12">
        <v>27</v>
      </c>
      <c r="R394" s="12">
        <v>28</v>
      </c>
      <c r="S394" s="12">
        <v>28</v>
      </c>
      <c r="T394" s="12">
        <v>27</v>
      </c>
      <c r="U394" s="5">
        <v>330</v>
      </c>
      <c r="V394" s="5" t="s">
        <v>14</v>
      </c>
      <c r="W394" s="13">
        <v>46184</v>
      </c>
      <c r="X394" s="12">
        <v>1980</v>
      </c>
      <c r="Y394" s="12">
        <v>4</v>
      </c>
      <c r="Z394" s="15" t="s">
        <v>536</v>
      </c>
      <c r="AT394" s="4"/>
      <c r="AU394" s="4"/>
      <c r="AV394" s="1"/>
    </row>
    <row r="395" spans="1:48" x14ac:dyDescent="0.3">
      <c r="A395" s="14">
        <v>394</v>
      </c>
      <c r="B395" s="12">
        <v>127194</v>
      </c>
      <c r="C395" s="12" t="s">
        <v>425</v>
      </c>
      <c r="D395" s="12" t="s">
        <v>7</v>
      </c>
      <c r="E395" s="12">
        <v>44</v>
      </c>
      <c r="F395" s="12" t="s">
        <v>557</v>
      </c>
      <c r="G395" s="12" t="s">
        <v>38</v>
      </c>
      <c r="H395" s="12" t="s">
        <v>26</v>
      </c>
      <c r="I395" s="12">
        <v>28</v>
      </c>
      <c r="J395" s="12">
        <v>27</v>
      </c>
      <c r="K395" s="12">
        <v>28</v>
      </c>
      <c r="L395" s="12">
        <v>28</v>
      </c>
      <c r="M395" s="12">
        <v>27</v>
      </c>
      <c r="N395" s="12">
        <v>27</v>
      </c>
      <c r="O395" s="12">
        <v>28</v>
      </c>
      <c r="P395" s="12">
        <v>27</v>
      </c>
      <c r="Q395" s="12">
        <v>28</v>
      </c>
      <c r="R395" s="12">
        <v>28</v>
      </c>
      <c r="S395" s="12">
        <v>27</v>
      </c>
      <c r="T395" s="12">
        <v>27</v>
      </c>
      <c r="U395" s="5">
        <v>330</v>
      </c>
      <c r="V395" s="5" t="s">
        <v>10</v>
      </c>
      <c r="W395" s="13">
        <v>46062</v>
      </c>
      <c r="X395" s="12">
        <v>1980</v>
      </c>
      <c r="Y395" s="12">
        <v>4</v>
      </c>
      <c r="Z395" s="15" t="s">
        <v>536</v>
      </c>
      <c r="AT395" s="4"/>
      <c r="AU395" s="4"/>
      <c r="AV395" s="1"/>
    </row>
    <row r="396" spans="1:48" x14ac:dyDescent="0.3">
      <c r="A396" s="14">
        <v>395</v>
      </c>
      <c r="B396" s="12">
        <v>127195</v>
      </c>
      <c r="C396" s="12" t="s">
        <v>426</v>
      </c>
      <c r="D396" s="12" t="s">
        <v>7</v>
      </c>
      <c r="E396" s="12">
        <v>39</v>
      </c>
      <c r="F396" s="12" t="s">
        <v>557</v>
      </c>
      <c r="G396" s="12" t="s">
        <v>25</v>
      </c>
      <c r="H396" s="12" t="s">
        <v>28</v>
      </c>
      <c r="I396" s="12">
        <v>27</v>
      </c>
      <c r="J396" s="12">
        <v>28</v>
      </c>
      <c r="K396" s="12">
        <v>27</v>
      </c>
      <c r="L396" s="12">
        <v>28</v>
      </c>
      <c r="M396" s="12">
        <v>28</v>
      </c>
      <c r="N396" s="12">
        <v>28</v>
      </c>
      <c r="O396" s="12">
        <v>28</v>
      </c>
      <c r="P396" s="12">
        <v>27</v>
      </c>
      <c r="Q396" s="12">
        <v>27</v>
      </c>
      <c r="R396" s="12">
        <v>27</v>
      </c>
      <c r="S396" s="12">
        <v>27</v>
      </c>
      <c r="T396" s="12">
        <v>27</v>
      </c>
      <c r="U396" s="5">
        <v>329</v>
      </c>
      <c r="V396" s="5" t="s">
        <v>10</v>
      </c>
      <c r="W396" s="13">
        <v>46080</v>
      </c>
      <c r="X396" s="12">
        <v>1974</v>
      </c>
      <c r="Y396" s="12">
        <v>3</v>
      </c>
      <c r="Z396" s="15" t="s">
        <v>535</v>
      </c>
      <c r="AT396" s="4"/>
      <c r="AU396" s="4"/>
      <c r="AV396" s="1"/>
    </row>
    <row r="397" spans="1:48" x14ac:dyDescent="0.3">
      <c r="A397" s="14">
        <v>396</v>
      </c>
      <c r="B397" s="12">
        <v>127196</v>
      </c>
      <c r="C397" s="12" t="s">
        <v>427</v>
      </c>
      <c r="D397" s="12" t="s">
        <v>6</v>
      </c>
      <c r="E397" s="12">
        <v>48</v>
      </c>
      <c r="F397" s="12" t="s">
        <v>558</v>
      </c>
      <c r="G397" s="12" t="s">
        <v>35</v>
      </c>
      <c r="H397" s="12" t="s">
        <v>31</v>
      </c>
      <c r="I397" s="12">
        <v>28</v>
      </c>
      <c r="J397" s="12">
        <v>27</v>
      </c>
      <c r="K397" s="12">
        <v>27</v>
      </c>
      <c r="L397" s="12">
        <v>27</v>
      </c>
      <c r="M397" s="12">
        <v>27</v>
      </c>
      <c r="N397" s="12">
        <v>27</v>
      </c>
      <c r="O397" s="12">
        <v>27</v>
      </c>
      <c r="P397" s="12">
        <v>27</v>
      </c>
      <c r="Q397" s="12">
        <v>27</v>
      </c>
      <c r="R397" s="12">
        <v>28</v>
      </c>
      <c r="S397" s="12">
        <v>28</v>
      </c>
      <c r="T397" s="12">
        <v>27</v>
      </c>
      <c r="U397" s="5">
        <v>327</v>
      </c>
      <c r="V397" s="5" t="s">
        <v>13</v>
      </c>
      <c r="W397" s="13">
        <v>46145</v>
      </c>
      <c r="X397" s="12">
        <v>1962</v>
      </c>
      <c r="Y397" s="12">
        <v>3</v>
      </c>
      <c r="Z397" s="15" t="s">
        <v>535</v>
      </c>
      <c r="AT397" s="4"/>
      <c r="AU397" s="4"/>
      <c r="AV397" s="1"/>
    </row>
    <row r="398" spans="1:48" x14ac:dyDescent="0.3">
      <c r="A398" s="14">
        <v>397</v>
      </c>
      <c r="B398" s="12">
        <v>127197</v>
      </c>
      <c r="C398" s="12" t="s">
        <v>428</v>
      </c>
      <c r="D398" s="12" t="s">
        <v>6</v>
      </c>
      <c r="E398" s="12">
        <v>33</v>
      </c>
      <c r="F398" s="12" t="s">
        <v>556</v>
      </c>
      <c r="G398" s="12" t="s">
        <v>35</v>
      </c>
      <c r="H398" s="12" t="s">
        <v>26</v>
      </c>
      <c r="I398" s="12">
        <v>28</v>
      </c>
      <c r="J398" s="12">
        <v>27</v>
      </c>
      <c r="K398" s="12">
        <v>27</v>
      </c>
      <c r="L398" s="12">
        <v>28</v>
      </c>
      <c r="M398" s="12">
        <v>27</v>
      </c>
      <c r="N398" s="12">
        <v>27</v>
      </c>
      <c r="O398" s="12">
        <v>28</v>
      </c>
      <c r="P398" s="12">
        <v>27</v>
      </c>
      <c r="Q398" s="12">
        <v>28</v>
      </c>
      <c r="R398" s="12">
        <v>27</v>
      </c>
      <c r="S398" s="12">
        <v>27</v>
      </c>
      <c r="T398" s="12">
        <v>28</v>
      </c>
      <c r="U398" s="5">
        <v>329</v>
      </c>
      <c r="V398" s="5" t="s">
        <v>9</v>
      </c>
      <c r="W398" s="13">
        <v>46053</v>
      </c>
      <c r="X398" s="12">
        <v>1974</v>
      </c>
      <c r="Y398" s="12">
        <v>5</v>
      </c>
      <c r="Z398" s="15" t="s">
        <v>536</v>
      </c>
      <c r="AT398" s="4"/>
      <c r="AU398" s="4"/>
      <c r="AV398" s="1"/>
    </row>
    <row r="399" spans="1:48" x14ac:dyDescent="0.3">
      <c r="A399" s="14">
        <v>398</v>
      </c>
      <c r="B399" s="12">
        <v>127198</v>
      </c>
      <c r="C399" s="12" t="s">
        <v>429</v>
      </c>
      <c r="D399" s="12" t="s">
        <v>6</v>
      </c>
      <c r="E399" s="12">
        <v>19</v>
      </c>
      <c r="F399" s="12" t="s">
        <v>555</v>
      </c>
      <c r="G399" s="12" t="s">
        <v>45</v>
      </c>
      <c r="H399" s="12" t="s">
        <v>28</v>
      </c>
      <c r="I399" s="12">
        <v>27</v>
      </c>
      <c r="J399" s="12">
        <v>28</v>
      </c>
      <c r="K399" s="12">
        <v>27</v>
      </c>
      <c r="L399" s="12">
        <v>27</v>
      </c>
      <c r="M399" s="12">
        <v>27</v>
      </c>
      <c r="N399" s="12">
        <v>28</v>
      </c>
      <c r="O399" s="12">
        <v>28</v>
      </c>
      <c r="P399" s="12">
        <v>28</v>
      </c>
      <c r="Q399" s="12">
        <v>28</v>
      </c>
      <c r="R399" s="12">
        <v>27</v>
      </c>
      <c r="S399" s="12">
        <v>27</v>
      </c>
      <c r="T399" s="12">
        <v>28</v>
      </c>
      <c r="U399" s="5">
        <v>330</v>
      </c>
      <c r="V399" s="5" t="s">
        <v>11</v>
      </c>
      <c r="W399" s="13">
        <v>46105</v>
      </c>
      <c r="X399" s="12">
        <v>1980</v>
      </c>
      <c r="Y399" s="12">
        <v>5</v>
      </c>
      <c r="Z399" s="15" t="s">
        <v>535</v>
      </c>
      <c r="AT399" s="4"/>
      <c r="AU399" s="4"/>
      <c r="AV399" s="1"/>
    </row>
    <row r="400" spans="1:48" x14ac:dyDescent="0.3">
      <c r="A400" s="14">
        <v>399</v>
      </c>
      <c r="B400" s="12">
        <v>127199</v>
      </c>
      <c r="C400" s="12" t="s">
        <v>430</v>
      </c>
      <c r="D400" s="12" t="s">
        <v>6</v>
      </c>
      <c r="E400" s="12">
        <v>31</v>
      </c>
      <c r="F400" s="12" t="s">
        <v>556</v>
      </c>
      <c r="G400" s="12" t="s">
        <v>38</v>
      </c>
      <c r="H400" s="12" t="s">
        <v>28</v>
      </c>
      <c r="I400" s="12">
        <v>28</v>
      </c>
      <c r="J400" s="12">
        <v>27</v>
      </c>
      <c r="K400" s="12">
        <v>27</v>
      </c>
      <c r="L400" s="12">
        <v>28</v>
      </c>
      <c r="M400" s="12">
        <v>27</v>
      </c>
      <c r="N400" s="12">
        <v>27</v>
      </c>
      <c r="O400" s="12">
        <v>28</v>
      </c>
      <c r="P400" s="12">
        <v>28</v>
      </c>
      <c r="Q400" s="12">
        <v>28</v>
      </c>
      <c r="R400" s="12">
        <v>27</v>
      </c>
      <c r="S400" s="12">
        <v>28</v>
      </c>
      <c r="T400" s="12">
        <v>28</v>
      </c>
      <c r="U400" s="5">
        <v>331</v>
      </c>
      <c r="V400" s="5" t="s">
        <v>16</v>
      </c>
      <c r="W400" s="13">
        <v>46236</v>
      </c>
      <c r="X400" s="12">
        <v>1986</v>
      </c>
      <c r="Y400" s="12">
        <v>4</v>
      </c>
      <c r="Z400" s="15" t="s">
        <v>535</v>
      </c>
      <c r="AT400" s="4"/>
      <c r="AU400" s="4"/>
      <c r="AV400" s="1"/>
    </row>
    <row r="401" spans="1:48" x14ac:dyDescent="0.3">
      <c r="A401" s="14">
        <v>400</v>
      </c>
      <c r="B401" s="12">
        <v>127200</v>
      </c>
      <c r="C401" s="12" t="s">
        <v>431</v>
      </c>
      <c r="D401" s="12" t="s">
        <v>6</v>
      </c>
      <c r="E401" s="12">
        <v>28</v>
      </c>
      <c r="F401" s="12" t="s">
        <v>556</v>
      </c>
      <c r="G401" s="12" t="s">
        <v>38</v>
      </c>
      <c r="H401" s="12" t="s">
        <v>31</v>
      </c>
      <c r="I401" s="12">
        <v>27</v>
      </c>
      <c r="J401" s="12">
        <v>28</v>
      </c>
      <c r="K401" s="12">
        <v>28</v>
      </c>
      <c r="L401" s="12">
        <v>28</v>
      </c>
      <c r="M401" s="12">
        <v>27</v>
      </c>
      <c r="N401" s="12">
        <v>28</v>
      </c>
      <c r="O401" s="12">
        <v>28</v>
      </c>
      <c r="P401" s="12">
        <v>28</v>
      </c>
      <c r="Q401" s="12">
        <v>27</v>
      </c>
      <c r="R401" s="12">
        <v>27</v>
      </c>
      <c r="S401" s="12">
        <v>28</v>
      </c>
      <c r="T401" s="12">
        <v>28</v>
      </c>
      <c r="U401" s="5">
        <v>332</v>
      </c>
      <c r="V401" s="5" t="s">
        <v>11</v>
      </c>
      <c r="W401" s="13">
        <v>46109</v>
      </c>
      <c r="X401" s="12">
        <v>1992</v>
      </c>
      <c r="Y401" s="12">
        <v>5</v>
      </c>
      <c r="Z401" s="15" t="s">
        <v>536</v>
      </c>
      <c r="AT401" s="4"/>
      <c r="AU401" s="4"/>
      <c r="AV401" s="1"/>
    </row>
    <row r="402" spans="1:48" x14ac:dyDescent="0.3">
      <c r="A402" s="14">
        <v>401</v>
      </c>
      <c r="B402" s="12">
        <v>127201</v>
      </c>
      <c r="C402" s="12" t="s">
        <v>432</v>
      </c>
      <c r="D402" s="12" t="s">
        <v>6</v>
      </c>
      <c r="E402" s="12">
        <v>47</v>
      </c>
      <c r="F402" s="12" t="s">
        <v>558</v>
      </c>
      <c r="G402" s="12" t="s">
        <v>38</v>
      </c>
      <c r="H402" s="12" t="s">
        <v>28</v>
      </c>
      <c r="I402" s="12">
        <v>27</v>
      </c>
      <c r="J402" s="12">
        <v>28</v>
      </c>
      <c r="K402" s="12">
        <v>27</v>
      </c>
      <c r="L402" s="12">
        <v>27</v>
      </c>
      <c r="M402" s="12">
        <v>27</v>
      </c>
      <c r="N402" s="12">
        <v>28</v>
      </c>
      <c r="O402" s="12">
        <v>27</v>
      </c>
      <c r="P402" s="12">
        <v>27</v>
      </c>
      <c r="Q402" s="12">
        <v>28</v>
      </c>
      <c r="R402" s="12">
        <v>27</v>
      </c>
      <c r="S402" s="12">
        <v>27</v>
      </c>
      <c r="T402" s="12">
        <v>28</v>
      </c>
      <c r="U402" s="5">
        <v>328</v>
      </c>
      <c r="V402" s="5" t="s">
        <v>11</v>
      </c>
      <c r="W402" s="13">
        <v>46103</v>
      </c>
      <c r="X402" s="12">
        <v>1968</v>
      </c>
      <c r="Y402" s="12">
        <v>5</v>
      </c>
      <c r="Z402" s="15" t="s">
        <v>535</v>
      </c>
      <c r="AT402" s="4"/>
      <c r="AU402" s="4"/>
      <c r="AV402" s="1"/>
    </row>
    <row r="403" spans="1:48" x14ac:dyDescent="0.3">
      <c r="A403" s="14">
        <v>402</v>
      </c>
      <c r="B403" s="12">
        <v>127202</v>
      </c>
      <c r="C403" s="12" t="s">
        <v>433</v>
      </c>
      <c r="D403" s="12" t="s">
        <v>6</v>
      </c>
      <c r="E403" s="12">
        <v>50</v>
      </c>
      <c r="F403" s="12" t="s">
        <v>558</v>
      </c>
      <c r="G403" s="12" t="s">
        <v>45</v>
      </c>
      <c r="H403" s="12" t="s">
        <v>28</v>
      </c>
      <c r="I403" s="12">
        <v>27</v>
      </c>
      <c r="J403" s="12">
        <v>27</v>
      </c>
      <c r="K403" s="12">
        <v>28</v>
      </c>
      <c r="L403" s="12">
        <v>27</v>
      </c>
      <c r="M403" s="12">
        <v>27</v>
      </c>
      <c r="N403" s="12">
        <v>27</v>
      </c>
      <c r="O403" s="12">
        <v>28</v>
      </c>
      <c r="P403" s="12">
        <v>28</v>
      </c>
      <c r="Q403" s="12">
        <v>28</v>
      </c>
      <c r="R403" s="12">
        <v>28</v>
      </c>
      <c r="S403" s="12">
        <v>27</v>
      </c>
      <c r="T403" s="12">
        <v>27</v>
      </c>
      <c r="U403" s="5">
        <v>329</v>
      </c>
      <c r="V403" s="5" t="s">
        <v>9</v>
      </c>
      <c r="W403" s="13">
        <v>46043</v>
      </c>
      <c r="X403" s="12">
        <v>1974</v>
      </c>
      <c r="Y403" s="12">
        <v>5</v>
      </c>
      <c r="Z403" s="15" t="s">
        <v>535</v>
      </c>
      <c r="AT403" s="4"/>
      <c r="AU403" s="4"/>
      <c r="AV403" s="1"/>
    </row>
    <row r="404" spans="1:48" x14ac:dyDescent="0.3">
      <c r="A404" s="14">
        <v>403</v>
      </c>
      <c r="B404" s="12">
        <v>127203</v>
      </c>
      <c r="C404" s="12" t="s">
        <v>434</v>
      </c>
      <c r="D404" s="12" t="s">
        <v>6</v>
      </c>
      <c r="E404" s="12">
        <v>39</v>
      </c>
      <c r="F404" s="12" t="s">
        <v>557</v>
      </c>
      <c r="G404" s="12" t="s">
        <v>30</v>
      </c>
      <c r="H404" s="12" t="s">
        <v>31</v>
      </c>
      <c r="I404" s="12">
        <v>27</v>
      </c>
      <c r="J404" s="12">
        <v>28</v>
      </c>
      <c r="K404" s="12">
        <v>28</v>
      </c>
      <c r="L404" s="12">
        <v>27</v>
      </c>
      <c r="M404" s="12">
        <v>27</v>
      </c>
      <c r="N404" s="12">
        <v>27</v>
      </c>
      <c r="O404" s="12">
        <v>27</v>
      </c>
      <c r="P404" s="12">
        <v>28</v>
      </c>
      <c r="Q404" s="12">
        <v>28</v>
      </c>
      <c r="R404" s="12">
        <v>28</v>
      </c>
      <c r="S404" s="12">
        <v>28</v>
      </c>
      <c r="T404" s="12">
        <v>27</v>
      </c>
      <c r="U404" s="5">
        <v>330</v>
      </c>
      <c r="V404" s="5" t="s">
        <v>9</v>
      </c>
      <c r="W404" s="13">
        <v>46042</v>
      </c>
      <c r="X404" s="12">
        <v>1980</v>
      </c>
      <c r="Y404" s="12">
        <v>5</v>
      </c>
      <c r="Z404" s="15" t="s">
        <v>535</v>
      </c>
      <c r="AT404" s="4"/>
      <c r="AU404" s="4"/>
      <c r="AV404" s="1"/>
    </row>
    <row r="405" spans="1:48" x14ac:dyDescent="0.3">
      <c r="A405" s="14">
        <v>404</v>
      </c>
      <c r="B405" s="12">
        <v>127204</v>
      </c>
      <c r="C405" s="12" t="s">
        <v>435</v>
      </c>
      <c r="D405" s="12" t="s">
        <v>7</v>
      </c>
      <c r="E405" s="12">
        <v>43</v>
      </c>
      <c r="F405" s="12" t="s">
        <v>557</v>
      </c>
      <c r="G405" s="12" t="s">
        <v>45</v>
      </c>
      <c r="H405" s="12" t="s">
        <v>28</v>
      </c>
      <c r="I405" s="12">
        <v>28</v>
      </c>
      <c r="J405" s="12">
        <v>28</v>
      </c>
      <c r="K405" s="12">
        <v>28</v>
      </c>
      <c r="L405" s="12">
        <v>28</v>
      </c>
      <c r="M405" s="12">
        <v>28</v>
      </c>
      <c r="N405" s="12">
        <v>27</v>
      </c>
      <c r="O405" s="12">
        <v>28</v>
      </c>
      <c r="P405" s="12">
        <v>28</v>
      </c>
      <c r="Q405" s="12">
        <v>27</v>
      </c>
      <c r="R405" s="12">
        <v>27</v>
      </c>
      <c r="S405" s="12">
        <v>27</v>
      </c>
      <c r="T405" s="12">
        <v>28</v>
      </c>
      <c r="U405" s="5">
        <v>332</v>
      </c>
      <c r="V405" s="5" t="s">
        <v>17</v>
      </c>
      <c r="W405" s="13">
        <v>46268</v>
      </c>
      <c r="X405" s="12">
        <v>1992</v>
      </c>
      <c r="Y405" s="12">
        <v>4</v>
      </c>
      <c r="Z405" s="15" t="s">
        <v>535</v>
      </c>
      <c r="AT405" s="4"/>
      <c r="AU405" s="4"/>
      <c r="AV405" s="1"/>
    </row>
    <row r="406" spans="1:48" x14ac:dyDescent="0.3">
      <c r="A406" s="14">
        <v>405</v>
      </c>
      <c r="B406" s="12">
        <v>127205</v>
      </c>
      <c r="C406" s="12" t="s">
        <v>436</v>
      </c>
      <c r="D406" s="12" t="s">
        <v>6</v>
      </c>
      <c r="E406" s="12">
        <v>50</v>
      </c>
      <c r="F406" s="12" t="s">
        <v>558</v>
      </c>
      <c r="G406" s="12" t="s">
        <v>35</v>
      </c>
      <c r="H406" s="12" t="s">
        <v>28</v>
      </c>
      <c r="I406" s="12">
        <v>27</v>
      </c>
      <c r="J406" s="12">
        <v>28</v>
      </c>
      <c r="K406" s="12">
        <v>28</v>
      </c>
      <c r="L406" s="12">
        <v>28</v>
      </c>
      <c r="M406" s="12">
        <v>27</v>
      </c>
      <c r="N406" s="12">
        <v>27</v>
      </c>
      <c r="O406" s="12">
        <v>28</v>
      </c>
      <c r="P406" s="12">
        <v>28</v>
      </c>
      <c r="Q406" s="12">
        <v>27</v>
      </c>
      <c r="R406" s="12">
        <v>27</v>
      </c>
      <c r="S406" s="12">
        <v>28</v>
      </c>
      <c r="T406" s="12">
        <v>27</v>
      </c>
      <c r="U406" s="5">
        <v>330</v>
      </c>
      <c r="V406" s="5" t="s">
        <v>14</v>
      </c>
      <c r="W406" s="13">
        <v>46197</v>
      </c>
      <c r="X406" s="12">
        <v>1980</v>
      </c>
      <c r="Y406" s="12">
        <v>4</v>
      </c>
      <c r="Z406" s="15" t="s">
        <v>536</v>
      </c>
      <c r="AT406" s="4"/>
      <c r="AU406" s="4"/>
      <c r="AV406" s="1"/>
    </row>
    <row r="407" spans="1:48" x14ac:dyDescent="0.3">
      <c r="A407" s="14">
        <v>406</v>
      </c>
      <c r="B407" s="12">
        <v>127206</v>
      </c>
      <c r="C407" s="12" t="s">
        <v>437</v>
      </c>
      <c r="D407" s="12" t="s">
        <v>7</v>
      </c>
      <c r="E407" s="12">
        <v>28</v>
      </c>
      <c r="F407" s="12" t="s">
        <v>556</v>
      </c>
      <c r="G407" s="12" t="s">
        <v>25</v>
      </c>
      <c r="H407" s="12" t="s">
        <v>31</v>
      </c>
      <c r="I407" s="12">
        <v>27</v>
      </c>
      <c r="J407" s="12">
        <v>28</v>
      </c>
      <c r="K407" s="12">
        <v>28</v>
      </c>
      <c r="L407" s="12">
        <v>28</v>
      </c>
      <c r="M407" s="12">
        <v>27</v>
      </c>
      <c r="N407" s="12">
        <v>27</v>
      </c>
      <c r="O407" s="12">
        <v>28</v>
      </c>
      <c r="P407" s="12">
        <v>28</v>
      </c>
      <c r="Q407" s="12">
        <v>27</v>
      </c>
      <c r="R407" s="12">
        <v>27</v>
      </c>
      <c r="S407" s="12">
        <v>28</v>
      </c>
      <c r="T407" s="12">
        <v>28</v>
      </c>
      <c r="U407" s="5">
        <v>331</v>
      </c>
      <c r="V407" s="5" t="s">
        <v>16</v>
      </c>
      <c r="W407" s="13">
        <v>46254</v>
      </c>
      <c r="X407" s="12">
        <v>1986</v>
      </c>
      <c r="Y407" s="12">
        <v>5</v>
      </c>
      <c r="Z407" s="15" t="s">
        <v>535</v>
      </c>
      <c r="AT407" s="4"/>
      <c r="AU407" s="4"/>
      <c r="AV407" s="1"/>
    </row>
    <row r="408" spans="1:48" x14ac:dyDescent="0.3">
      <c r="A408" s="14">
        <v>407</v>
      </c>
      <c r="B408" s="12">
        <v>127207</v>
      </c>
      <c r="C408" s="12" t="s">
        <v>438</v>
      </c>
      <c r="D408" s="12" t="s">
        <v>7</v>
      </c>
      <c r="E408" s="12">
        <v>20</v>
      </c>
      <c r="F408" s="12" t="s">
        <v>555</v>
      </c>
      <c r="G408" s="12" t="s">
        <v>45</v>
      </c>
      <c r="H408" s="12" t="s">
        <v>31</v>
      </c>
      <c r="I408" s="12">
        <v>28</v>
      </c>
      <c r="J408" s="12">
        <v>28</v>
      </c>
      <c r="K408" s="12">
        <v>28</v>
      </c>
      <c r="L408" s="12">
        <v>27</v>
      </c>
      <c r="M408" s="12">
        <v>28</v>
      </c>
      <c r="N408" s="12">
        <v>28</v>
      </c>
      <c r="O408" s="12">
        <v>27</v>
      </c>
      <c r="P408" s="12">
        <v>27</v>
      </c>
      <c r="Q408" s="12">
        <v>28</v>
      </c>
      <c r="R408" s="12">
        <v>27</v>
      </c>
      <c r="S408" s="12">
        <v>28</v>
      </c>
      <c r="T408" s="12">
        <v>28</v>
      </c>
      <c r="U408" s="5">
        <v>332</v>
      </c>
      <c r="V408" s="5" t="s">
        <v>17</v>
      </c>
      <c r="W408" s="13">
        <v>46276</v>
      </c>
      <c r="X408" s="12">
        <v>1992</v>
      </c>
      <c r="Y408" s="12">
        <v>5</v>
      </c>
      <c r="Z408" s="15" t="s">
        <v>536</v>
      </c>
      <c r="AT408" s="4"/>
      <c r="AU408" s="4"/>
      <c r="AV408" s="1"/>
    </row>
    <row r="409" spans="1:48" x14ac:dyDescent="0.3">
      <c r="A409" s="14">
        <v>408</v>
      </c>
      <c r="B409" s="12">
        <v>127208</v>
      </c>
      <c r="C409" s="12" t="s">
        <v>439</v>
      </c>
      <c r="D409" s="12" t="s">
        <v>6</v>
      </c>
      <c r="E409" s="12">
        <v>42</v>
      </c>
      <c r="F409" s="12" t="s">
        <v>557</v>
      </c>
      <c r="G409" s="12" t="s">
        <v>35</v>
      </c>
      <c r="H409" s="12" t="s">
        <v>26</v>
      </c>
      <c r="I409" s="12">
        <v>27</v>
      </c>
      <c r="J409" s="12">
        <v>27</v>
      </c>
      <c r="K409" s="12">
        <v>28</v>
      </c>
      <c r="L409" s="12">
        <v>27</v>
      </c>
      <c r="M409" s="12">
        <v>28</v>
      </c>
      <c r="N409" s="12">
        <v>28</v>
      </c>
      <c r="O409" s="12">
        <v>27</v>
      </c>
      <c r="P409" s="12">
        <v>27</v>
      </c>
      <c r="Q409" s="12">
        <v>28</v>
      </c>
      <c r="R409" s="12">
        <v>28</v>
      </c>
      <c r="S409" s="12">
        <v>28</v>
      </c>
      <c r="T409" s="12">
        <v>27</v>
      </c>
      <c r="U409" s="5">
        <v>330</v>
      </c>
      <c r="V409" s="5" t="s">
        <v>15</v>
      </c>
      <c r="W409" s="13">
        <v>46225</v>
      </c>
      <c r="X409" s="12">
        <v>1980</v>
      </c>
      <c r="Y409" s="12">
        <v>3</v>
      </c>
      <c r="Z409" s="15" t="s">
        <v>535</v>
      </c>
      <c r="AT409" s="4"/>
      <c r="AU409" s="4"/>
      <c r="AV409" s="1"/>
    </row>
    <row r="410" spans="1:48" x14ac:dyDescent="0.3">
      <c r="A410" s="14">
        <v>409</v>
      </c>
      <c r="B410" s="12">
        <v>127209</v>
      </c>
      <c r="C410" s="12" t="s">
        <v>440</v>
      </c>
      <c r="D410" s="12" t="s">
        <v>6</v>
      </c>
      <c r="E410" s="12">
        <v>37</v>
      </c>
      <c r="F410" s="12" t="s">
        <v>557</v>
      </c>
      <c r="G410" s="12" t="s">
        <v>45</v>
      </c>
      <c r="H410" s="12" t="s">
        <v>28</v>
      </c>
      <c r="I410" s="12">
        <v>28</v>
      </c>
      <c r="J410" s="12">
        <v>28</v>
      </c>
      <c r="K410" s="12">
        <v>28</v>
      </c>
      <c r="L410" s="12">
        <v>28</v>
      </c>
      <c r="M410" s="12">
        <v>27</v>
      </c>
      <c r="N410" s="12">
        <v>28</v>
      </c>
      <c r="O410" s="12">
        <v>27</v>
      </c>
      <c r="P410" s="12">
        <v>28</v>
      </c>
      <c r="Q410" s="12">
        <v>27</v>
      </c>
      <c r="R410" s="12">
        <v>27</v>
      </c>
      <c r="S410" s="12">
        <v>28</v>
      </c>
      <c r="T410" s="12">
        <v>28</v>
      </c>
      <c r="U410" s="5">
        <v>332</v>
      </c>
      <c r="V410" s="5" t="s">
        <v>10</v>
      </c>
      <c r="W410" s="13">
        <v>46068</v>
      </c>
      <c r="X410" s="12">
        <v>1992</v>
      </c>
      <c r="Y410" s="12">
        <v>5</v>
      </c>
      <c r="Z410" s="15" t="s">
        <v>536</v>
      </c>
      <c r="AT410" s="4"/>
      <c r="AU410" s="4"/>
      <c r="AV410" s="1"/>
    </row>
    <row r="411" spans="1:48" x14ac:dyDescent="0.3">
      <c r="A411" s="14">
        <v>410</v>
      </c>
      <c r="B411" s="12">
        <v>127210</v>
      </c>
      <c r="C411" s="12" t="s">
        <v>441</v>
      </c>
      <c r="D411" s="12" t="s">
        <v>6</v>
      </c>
      <c r="E411" s="12">
        <v>35</v>
      </c>
      <c r="F411" s="12" t="s">
        <v>556</v>
      </c>
      <c r="G411" s="12" t="s">
        <v>30</v>
      </c>
      <c r="H411" s="12" t="s">
        <v>28</v>
      </c>
      <c r="I411" s="12">
        <v>28</v>
      </c>
      <c r="J411" s="12">
        <v>28</v>
      </c>
      <c r="K411" s="12">
        <v>28</v>
      </c>
      <c r="L411" s="12">
        <v>27</v>
      </c>
      <c r="M411" s="12">
        <v>28</v>
      </c>
      <c r="N411" s="12">
        <v>27</v>
      </c>
      <c r="O411" s="12">
        <v>27</v>
      </c>
      <c r="P411" s="12">
        <v>28</v>
      </c>
      <c r="Q411" s="12">
        <v>28</v>
      </c>
      <c r="R411" s="12">
        <v>28</v>
      </c>
      <c r="S411" s="12">
        <v>27</v>
      </c>
      <c r="T411" s="12">
        <v>28</v>
      </c>
      <c r="U411" s="5">
        <v>332</v>
      </c>
      <c r="V411" s="5" t="s">
        <v>16</v>
      </c>
      <c r="W411" s="13">
        <v>46253</v>
      </c>
      <c r="X411" s="12">
        <v>1992</v>
      </c>
      <c r="Y411" s="12">
        <v>4</v>
      </c>
      <c r="Z411" s="15" t="s">
        <v>536</v>
      </c>
      <c r="AT411" s="4"/>
      <c r="AU411" s="4"/>
      <c r="AV411" s="1"/>
    </row>
    <row r="412" spans="1:48" x14ac:dyDescent="0.3">
      <c r="A412" s="14">
        <v>411</v>
      </c>
      <c r="B412" s="12">
        <v>127211</v>
      </c>
      <c r="C412" s="12" t="s">
        <v>442</v>
      </c>
      <c r="D412" s="12" t="s">
        <v>6</v>
      </c>
      <c r="E412" s="12">
        <v>37</v>
      </c>
      <c r="F412" s="12" t="s">
        <v>557</v>
      </c>
      <c r="G412" s="12" t="s">
        <v>38</v>
      </c>
      <c r="H412" s="12" t="s">
        <v>28</v>
      </c>
      <c r="I412" s="12">
        <v>27</v>
      </c>
      <c r="J412" s="12">
        <v>28</v>
      </c>
      <c r="K412" s="12">
        <v>27</v>
      </c>
      <c r="L412" s="12">
        <v>28</v>
      </c>
      <c r="M412" s="12">
        <v>28</v>
      </c>
      <c r="N412" s="12">
        <v>28</v>
      </c>
      <c r="O412" s="12">
        <v>28</v>
      </c>
      <c r="P412" s="12">
        <v>28</v>
      </c>
      <c r="Q412" s="12">
        <v>28</v>
      </c>
      <c r="R412" s="12">
        <v>28</v>
      </c>
      <c r="S412" s="12">
        <v>27</v>
      </c>
      <c r="T412" s="12">
        <v>28</v>
      </c>
      <c r="U412" s="5">
        <v>333</v>
      </c>
      <c r="V412" s="5" t="s">
        <v>15</v>
      </c>
      <c r="W412" s="13">
        <v>46234</v>
      </c>
      <c r="X412" s="12">
        <v>1998</v>
      </c>
      <c r="Y412" s="12">
        <v>4</v>
      </c>
      <c r="Z412" s="15" t="s">
        <v>535</v>
      </c>
      <c r="AT412" s="4"/>
      <c r="AU412" s="4"/>
      <c r="AV412" s="1"/>
    </row>
    <row r="413" spans="1:48" x14ac:dyDescent="0.3">
      <c r="A413" s="14">
        <v>412</v>
      </c>
      <c r="B413" s="12">
        <v>127212</v>
      </c>
      <c r="C413" s="12" t="s">
        <v>443</v>
      </c>
      <c r="D413" s="12" t="s">
        <v>6</v>
      </c>
      <c r="E413" s="12">
        <v>31</v>
      </c>
      <c r="F413" s="12" t="s">
        <v>556</v>
      </c>
      <c r="G413" s="12" t="s">
        <v>30</v>
      </c>
      <c r="H413" s="12" t="s">
        <v>31</v>
      </c>
      <c r="I413" s="12">
        <v>28</v>
      </c>
      <c r="J413" s="12">
        <v>27</v>
      </c>
      <c r="K413" s="12">
        <v>27</v>
      </c>
      <c r="L413" s="12">
        <v>27</v>
      </c>
      <c r="M413" s="12">
        <v>28</v>
      </c>
      <c r="N413" s="12">
        <v>27</v>
      </c>
      <c r="O413" s="12">
        <v>28</v>
      </c>
      <c r="P413" s="12">
        <v>28</v>
      </c>
      <c r="Q413" s="12">
        <v>27</v>
      </c>
      <c r="R413" s="12">
        <v>27</v>
      </c>
      <c r="S413" s="12">
        <v>28</v>
      </c>
      <c r="T413" s="12">
        <v>28</v>
      </c>
      <c r="U413" s="5">
        <v>330</v>
      </c>
      <c r="V413" s="5" t="s">
        <v>9</v>
      </c>
      <c r="W413" s="13">
        <v>46040</v>
      </c>
      <c r="X413" s="12">
        <v>1980</v>
      </c>
      <c r="Y413" s="12">
        <v>5</v>
      </c>
      <c r="Z413" s="15" t="s">
        <v>536</v>
      </c>
      <c r="AT413" s="4"/>
      <c r="AU413" s="4"/>
      <c r="AV413" s="1"/>
    </row>
    <row r="414" spans="1:48" x14ac:dyDescent="0.3">
      <c r="A414" s="14">
        <v>413</v>
      </c>
      <c r="B414" s="12">
        <v>127213</v>
      </c>
      <c r="C414" s="12" t="s">
        <v>444</v>
      </c>
      <c r="D414" s="12" t="s">
        <v>6</v>
      </c>
      <c r="E414" s="12">
        <v>45</v>
      </c>
      <c r="F414" s="12" t="s">
        <v>557</v>
      </c>
      <c r="G414" s="12" t="s">
        <v>35</v>
      </c>
      <c r="H414" s="12" t="s">
        <v>28</v>
      </c>
      <c r="I414" s="12">
        <v>28</v>
      </c>
      <c r="J414" s="12">
        <v>27</v>
      </c>
      <c r="K414" s="12">
        <v>28</v>
      </c>
      <c r="L414" s="12">
        <v>28</v>
      </c>
      <c r="M414" s="12">
        <v>27</v>
      </c>
      <c r="N414" s="12">
        <v>28</v>
      </c>
      <c r="O414" s="12">
        <v>27</v>
      </c>
      <c r="P414" s="12">
        <v>28</v>
      </c>
      <c r="Q414" s="12">
        <v>27</v>
      </c>
      <c r="R414" s="12">
        <v>28</v>
      </c>
      <c r="S414" s="12">
        <v>28</v>
      </c>
      <c r="T414" s="12">
        <v>28</v>
      </c>
      <c r="U414" s="5">
        <v>332</v>
      </c>
      <c r="V414" s="5" t="s">
        <v>11</v>
      </c>
      <c r="W414" s="13">
        <v>46104</v>
      </c>
      <c r="X414" s="12">
        <v>1992</v>
      </c>
      <c r="Y414" s="12">
        <v>5</v>
      </c>
      <c r="Z414" s="15" t="s">
        <v>536</v>
      </c>
      <c r="AT414" s="4"/>
      <c r="AU414" s="4"/>
      <c r="AV414" s="1"/>
    </row>
    <row r="415" spans="1:48" x14ac:dyDescent="0.3">
      <c r="A415" s="14">
        <v>414</v>
      </c>
      <c r="B415" s="12">
        <v>127214</v>
      </c>
      <c r="C415" s="12" t="s">
        <v>445</v>
      </c>
      <c r="D415" s="12" t="s">
        <v>6</v>
      </c>
      <c r="E415" s="12">
        <v>22</v>
      </c>
      <c r="F415" s="12" t="s">
        <v>555</v>
      </c>
      <c r="G415" s="12" t="s">
        <v>30</v>
      </c>
      <c r="H415" s="12" t="s">
        <v>31</v>
      </c>
      <c r="I415" s="12">
        <v>27</v>
      </c>
      <c r="J415" s="12">
        <v>28</v>
      </c>
      <c r="K415" s="12">
        <v>27</v>
      </c>
      <c r="L415" s="12">
        <v>28</v>
      </c>
      <c r="M415" s="12">
        <v>28</v>
      </c>
      <c r="N415" s="12">
        <v>28</v>
      </c>
      <c r="O415" s="12">
        <v>28</v>
      </c>
      <c r="P415" s="12">
        <v>27</v>
      </c>
      <c r="Q415" s="12">
        <v>27</v>
      </c>
      <c r="R415" s="12">
        <v>28</v>
      </c>
      <c r="S415" s="12">
        <v>27</v>
      </c>
      <c r="T415" s="12">
        <v>28</v>
      </c>
      <c r="U415" s="5">
        <v>331</v>
      </c>
      <c r="V415" s="5" t="s">
        <v>11</v>
      </c>
      <c r="W415" s="13">
        <v>46096</v>
      </c>
      <c r="X415" s="12">
        <v>1986</v>
      </c>
      <c r="Y415" s="12">
        <v>3</v>
      </c>
      <c r="Z415" s="15" t="s">
        <v>535</v>
      </c>
      <c r="AT415" s="4"/>
      <c r="AU415" s="4"/>
      <c r="AV415" s="1"/>
    </row>
    <row r="416" spans="1:48" x14ac:dyDescent="0.3">
      <c r="A416" s="14">
        <v>415</v>
      </c>
      <c r="B416" s="12">
        <v>127215</v>
      </c>
      <c r="C416" s="12" t="s">
        <v>446</v>
      </c>
      <c r="D416" s="12" t="s">
        <v>7</v>
      </c>
      <c r="E416" s="12">
        <v>27</v>
      </c>
      <c r="F416" s="12" t="s">
        <v>556</v>
      </c>
      <c r="G416" s="12" t="s">
        <v>35</v>
      </c>
      <c r="H416" s="12" t="s">
        <v>26</v>
      </c>
      <c r="I416" s="12">
        <v>28</v>
      </c>
      <c r="J416" s="12">
        <v>28</v>
      </c>
      <c r="K416" s="12">
        <v>27</v>
      </c>
      <c r="L416" s="12">
        <v>27</v>
      </c>
      <c r="M416" s="12">
        <v>27</v>
      </c>
      <c r="N416" s="12">
        <v>28</v>
      </c>
      <c r="O416" s="12">
        <v>27</v>
      </c>
      <c r="P416" s="12">
        <v>27</v>
      </c>
      <c r="Q416" s="12">
        <v>28</v>
      </c>
      <c r="R416" s="12">
        <v>27</v>
      </c>
      <c r="S416" s="12">
        <v>28</v>
      </c>
      <c r="T416" s="12">
        <v>28</v>
      </c>
      <c r="U416" s="5">
        <v>330</v>
      </c>
      <c r="V416" s="5" t="s">
        <v>17</v>
      </c>
      <c r="W416" s="13">
        <v>46293</v>
      </c>
      <c r="X416" s="12">
        <v>1980</v>
      </c>
      <c r="Y416" s="12">
        <v>4</v>
      </c>
      <c r="Z416" s="15" t="s">
        <v>535</v>
      </c>
      <c r="AT416" s="4"/>
      <c r="AU416" s="4"/>
      <c r="AV416" s="1"/>
    </row>
    <row r="417" spans="1:48" x14ac:dyDescent="0.3">
      <c r="A417" s="14">
        <v>416</v>
      </c>
      <c r="B417" s="12">
        <v>127216</v>
      </c>
      <c r="C417" s="12" t="s">
        <v>447</v>
      </c>
      <c r="D417" s="12" t="s">
        <v>7</v>
      </c>
      <c r="E417" s="12">
        <v>23</v>
      </c>
      <c r="F417" s="12" t="s">
        <v>555</v>
      </c>
      <c r="G417" s="12" t="s">
        <v>45</v>
      </c>
      <c r="H417" s="12" t="s">
        <v>26</v>
      </c>
      <c r="I417" s="12">
        <v>28</v>
      </c>
      <c r="J417" s="12">
        <v>27</v>
      </c>
      <c r="K417" s="12">
        <v>27</v>
      </c>
      <c r="L417" s="12">
        <v>28</v>
      </c>
      <c r="M417" s="12">
        <v>27</v>
      </c>
      <c r="N417" s="12">
        <v>27</v>
      </c>
      <c r="O417" s="12">
        <v>27</v>
      </c>
      <c r="P417" s="12">
        <v>28</v>
      </c>
      <c r="Q417" s="12">
        <v>28</v>
      </c>
      <c r="R417" s="12">
        <v>28</v>
      </c>
      <c r="S417" s="12">
        <v>27</v>
      </c>
      <c r="T417" s="12">
        <v>28</v>
      </c>
      <c r="U417" s="5">
        <v>330</v>
      </c>
      <c r="V417" s="5" t="s">
        <v>17</v>
      </c>
      <c r="W417" s="13">
        <v>46281</v>
      </c>
      <c r="X417" s="12">
        <v>1980</v>
      </c>
      <c r="Y417" s="12">
        <v>4</v>
      </c>
      <c r="Z417" s="15" t="s">
        <v>536</v>
      </c>
      <c r="AT417" s="4"/>
      <c r="AU417" s="4"/>
      <c r="AV417" s="1"/>
    </row>
    <row r="418" spans="1:48" x14ac:dyDescent="0.3">
      <c r="A418" s="14">
        <v>417</v>
      </c>
      <c r="B418" s="12">
        <v>127217</v>
      </c>
      <c r="C418" s="12" t="s">
        <v>448</v>
      </c>
      <c r="D418" s="12" t="s">
        <v>6</v>
      </c>
      <c r="E418" s="12">
        <v>33</v>
      </c>
      <c r="F418" s="12" t="s">
        <v>556</v>
      </c>
      <c r="G418" s="12" t="s">
        <v>25</v>
      </c>
      <c r="H418" s="12" t="s">
        <v>26</v>
      </c>
      <c r="I418" s="12">
        <v>27</v>
      </c>
      <c r="J418" s="12">
        <v>27</v>
      </c>
      <c r="K418" s="12">
        <v>28</v>
      </c>
      <c r="L418" s="12">
        <v>27</v>
      </c>
      <c r="M418" s="12">
        <v>28</v>
      </c>
      <c r="N418" s="12">
        <v>27</v>
      </c>
      <c r="O418" s="12">
        <v>27</v>
      </c>
      <c r="P418" s="12">
        <v>27</v>
      </c>
      <c r="Q418" s="12">
        <v>27</v>
      </c>
      <c r="R418" s="12">
        <v>28</v>
      </c>
      <c r="S418" s="12">
        <v>27</v>
      </c>
      <c r="T418" s="12">
        <v>27</v>
      </c>
      <c r="U418" s="5">
        <v>327</v>
      </c>
      <c r="V418" s="5" t="s">
        <v>16</v>
      </c>
      <c r="W418" s="13">
        <v>46264</v>
      </c>
      <c r="X418" s="12">
        <v>1962</v>
      </c>
      <c r="Y418" s="12">
        <v>3</v>
      </c>
      <c r="Z418" s="15" t="s">
        <v>536</v>
      </c>
      <c r="AT418" s="4"/>
      <c r="AU418" s="4"/>
      <c r="AV418" s="1"/>
    </row>
    <row r="419" spans="1:48" x14ac:dyDescent="0.3">
      <c r="A419" s="14">
        <v>418</v>
      </c>
      <c r="B419" s="12">
        <v>127218</v>
      </c>
      <c r="C419" s="12" t="s">
        <v>449</v>
      </c>
      <c r="D419" s="12" t="s">
        <v>6</v>
      </c>
      <c r="E419" s="12">
        <v>50</v>
      </c>
      <c r="F419" s="12" t="s">
        <v>558</v>
      </c>
      <c r="G419" s="12" t="s">
        <v>38</v>
      </c>
      <c r="H419" s="12" t="s">
        <v>26</v>
      </c>
      <c r="I419" s="12">
        <v>27</v>
      </c>
      <c r="J419" s="12">
        <v>27</v>
      </c>
      <c r="K419" s="12">
        <v>27</v>
      </c>
      <c r="L419" s="12">
        <v>28</v>
      </c>
      <c r="M419" s="12">
        <v>28</v>
      </c>
      <c r="N419" s="12">
        <v>27</v>
      </c>
      <c r="O419" s="12">
        <v>28</v>
      </c>
      <c r="P419" s="12">
        <v>28</v>
      </c>
      <c r="Q419" s="12">
        <v>27</v>
      </c>
      <c r="R419" s="12">
        <v>27</v>
      </c>
      <c r="S419" s="12">
        <v>27</v>
      </c>
      <c r="T419" s="12">
        <v>27</v>
      </c>
      <c r="U419" s="5">
        <v>328</v>
      </c>
      <c r="V419" s="5" t="s">
        <v>15</v>
      </c>
      <c r="W419" s="13">
        <v>46231</v>
      </c>
      <c r="X419" s="12">
        <v>1968</v>
      </c>
      <c r="Y419" s="12">
        <v>3</v>
      </c>
      <c r="Z419" s="15" t="s">
        <v>535</v>
      </c>
      <c r="AT419" s="4"/>
      <c r="AU419" s="4"/>
      <c r="AV419" s="1"/>
    </row>
    <row r="420" spans="1:48" x14ac:dyDescent="0.3">
      <c r="A420" s="14">
        <v>419</v>
      </c>
      <c r="B420" s="12">
        <v>127219</v>
      </c>
      <c r="C420" s="12" t="s">
        <v>450</v>
      </c>
      <c r="D420" s="12" t="s">
        <v>6</v>
      </c>
      <c r="E420" s="12">
        <v>38</v>
      </c>
      <c r="F420" s="12" t="s">
        <v>557</v>
      </c>
      <c r="G420" s="12" t="s">
        <v>38</v>
      </c>
      <c r="H420" s="12" t="s">
        <v>26</v>
      </c>
      <c r="I420" s="12">
        <v>28</v>
      </c>
      <c r="J420" s="12">
        <v>27</v>
      </c>
      <c r="K420" s="12">
        <v>27</v>
      </c>
      <c r="L420" s="12">
        <v>28</v>
      </c>
      <c r="M420" s="12">
        <v>27</v>
      </c>
      <c r="N420" s="12">
        <v>27</v>
      </c>
      <c r="O420" s="12">
        <v>27</v>
      </c>
      <c r="P420" s="12">
        <v>28</v>
      </c>
      <c r="Q420" s="12">
        <v>28</v>
      </c>
      <c r="R420" s="12">
        <v>27</v>
      </c>
      <c r="S420" s="12">
        <v>28</v>
      </c>
      <c r="T420" s="12">
        <v>27</v>
      </c>
      <c r="U420" s="5">
        <v>329</v>
      </c>
      <c r="V420" s="5" t="s">
        <v>15</v>
      </c>
      <c r="W420" s="13">
        <v>46219</v>
      </c>
      <c r="X420" s="12">
        <v>1974</v>
      </c>
      <c r="Y420" s="12">
        <v>4</v>
      </c>
      <c r="Z420" s="15" t="s">
        <v>535</v>
      </c>
      <c r="AT420" s="4"/>
      <c r="AU420" s="4"/>
      <c r="AV420" s="1"/>
    </row>
    <row r="421" spans="1:48" x14ac:dyDescent="0.3">
      <c r="A421" s="14">
        <v>420</v>
      </c>
      <c r="B421" s="12">
        <v>127220</v>
      </c>
      <c r="C421" s="12" t="s">
        <v>451</v>
      </c>
      <c r="D421" s="12" t="s">
        <v>6</v>
      </c>
      <c r="E421" s="12">
        <v>26</v>
      </c>
      <c r="F421" s="12" t="s">
        <v>556</v>
      </c>
      <c r="G421" s="12" t="s">
        <v>38</v>
      </c>
      <c r="H421" s="12" t="s">
        <v>28</v>
      </c>
      <c r="I421" s="12">
        <v>28</v>
      </c>
      <c r="J421" s="12">
        <v>27</v>
      </c>
      <c r="K421" s="12">
        <v>27</v>
      </c>
      <c r="L421" s="12">
        <v>28</v>
      </c>
      <c r="M421" s="12">
        <v>28</v>
      </c>
      <c r="N421" s="12">
        <v>28</v>
      </c>
      <c r="O421" s="12">
        <v>27</v>
      </c>
      <c r="P421" s="12">
        <v>27</v>
      </c>
      <c r="Q421" s="12">
        <v>27</v>
      </c>
      <c r="R421" s="12">
        <v>28</v>
      </c>
      <c r="S421" s="12">
        <v>28</v>
      </c>
      <c r="T421" s="12">
        <v>28</v>
      </c>
      <c r="U421" s="5">
        <v>331</v>
      </c>
      <c r="V421" s="5" t="s">
        <v>16</v>
      </c>
      <c r="W421" s="13">
        <v>46250</v>
      </c>
      <c r="X421" s="12">
        <v>1986</v>
      </c>
      <c r="Y421" s="12">
        <v>5</v>
      </c>
      <c r="Z421" s="15" t="s">
        <v>535</v>
      </c>
      <c r="AT421" s="4"/>
      <c r="AU421" s="4"/>
      <c r="AV421" s="1"/>
    </row>
    <row r="422" spans="1:48" x14ac:dyDescent="0.3">
      <c r="A422" s="14">
        <v>421</v>
      </c>
      <c r="B422" s="12">
        <v>127221</v>
      </c>
      <c r="C422" s="12" t="s">
        <v>452</v>
      </c>
      <c r="D422" s="12" t="s">
        <v>6</v>
      </c>
      <c r="E422" s="12">
        <v>25</v>
      </c>
      <c r="F422" s="12" t="s">
        <v>555</v>
      </c>
      <c r="G422" s="12" t="s">
        <v>30</v>
      </c>
      <c r="H422" s="12" t="s">
        <v>26</v>
      </c>
      <c r="I422" s="12">
        <v>28</v>
      </c>
      <c r="J422" s="12">
        <v>28</v>
      </c>
      <c r="K422" s="12">
        <v>27</v>
      </c>
      <c r="L422" s="12">
        <v>28</v>
      </c>
      <c r="M422" s="12">
        <v>28</v>
      </c>
      <c r="N422" s="12">
        <v>27</v>
      </c>
      <c r="O422" s="12">
        <v>27</v>
      </c>
      <c r="P422" s="12">
        <v>28</v>
      </c>
      <c r="Q422" s="12">
        <v>27</v>
      </c>
      <c r="R422" s="12">
        <v>28</v>
      </c>
      <c r="S422" s="12">
        <v>27</v>
      </c>
      <c r="T422" s="12">
        <v>27</v>
      </c>
      <c r="U422" s="5">
        <v>330</v>
      </c>
      <c r="V422" s="5" t="s">
        <v>13</v>
      </c>
      <c r="W422" s="13">
        <v>46173</v>
      </c>
      <c r="X422" s="12">
        <v>1980</v>
      </c>
      <c r="Y422" s="12">
        <v>5</v>
      </c>
      <c r="Z422" s="15" t="s">
        <v>535</v>
      </c>
      <c r="AT422" s="4"/>
      <c r="AU422" s="4"/>
      <c r="AV422" s="1"/>
    </row>
    <row r="423" spans="1:48" x14ac:dyDescent="0.3">
      <c r="A423" s="14">
        <v>422</v>
      </c>
      <c r="B423" s="12">
        <v>127222</v>
      </c>
      <c r="C423" s="12" t="s">
        <v>453</v>
      </c>
      <c r="D423" s="12" t="s">
        <v>7</v>
      </c>
      <c r="E423" s="12">
        <v>50</v>
      </c>
      <c r="F423" s="12" t="s">
        <v>558</v>
      </c>
      <c r="G423" s="12" t="s">
        <v>25</v>
      </c>
      <c r="H423" s="12" t="s">
        <v>31</v>
      </c>
      <c r="I423" s="12">
        <v>27</v>
      </c>
      <c r="J423" s="12">
        <v>28</v>
      </c>
      <c r="K423" s="12">
        <v>27</v>
      </c>
      <c r="L423" s="12">
        <v>28</v>
      </c>
      <c r="M423" s="12">
        <v>27</v>
      </c>
      <c r="N423" s="12">
        <v>27</v>
      </c>
      <c r="O423" s="12">
        <v>27</v>
      </c>
      <c r="P423" s="12">
        <v>28</v>
      </c>
      <c r="Q423" s="12">
        <v>27</v>
      </c>
      <c r="R423" s="12">
        <v>28</v>
      </c>
      <c r="S423" s="12">
        <v>27</v>
      </c>
      <c r="T423" s="12">
        <v>27</v>
      </c>
      <c r="U423" s="5">
        <v>328</v>
      </c>
      <c r="V423" s="5" t="s">
        <v>9</v>
      </c>
      <c r="W423" s="13">
        <v>46052</v>
      </c>
      <c r="X423" s="12">
        <v>1968</v>
      </c>
      <c r="Y423" s="12">
        <v>5</v>
      </c>
      <c r="Z423" s="15" t="s">
        <v>536</v>
      </c>
      <c r="AT423" s="4"/>
      <c r="AU423" s="4"/>
      <c r="AV423" s="1"/>
    </row>
    <row r="424" spans="1:48" x14ac:dyDescent="0.3">
      <c r="A424" s="14">
        <v>423</v>
      </c>
      <c r="B424" s="12">
        <v>127223</v>
      </c>
      <c r="C424" s="12" t="s">
        <v>454</v>
      </c>
      <c r="D424" s="12" t="s">
        <v>6</v>
      </c>
      <c r="E424" s="12">
        <v>23</v>
      </c>
      <c r="F424" s="12" t="s">
        <v>555</v>
      </c>
      <c r="G424" s="12" t="s">
        <v>30</v>
      </c>
      <c r="H424" s="12" t="s">
        <v>26</v>
      </c>
      <c r="I424" s="12">
        <v>27</v>
      </c>
      <c r="J424" s="12">
        <v>28</v>
      </c>
      <c r="K424" s="12">
        <v>27</v>
      </c>
      <c r="L424" s="12">
        <v>28</v>
      </c>
      <c r="M424" s="12">
        <v>28</v>
      </c>
      <c r="N424" s="12">
        <v>27</v>
      </c>
      <c r="O424" s="12">
        <v>27</v>
      </c>
      <c r="P424" s="12">
        <v>27</v>
      </c>
      <c r="Q424" s="12">
        <v>28</v>
      </c>
      <c r="R424" s="12">
        <v>27</v>
      </c>
      <c r="S424" s="12">
        <v>28</v>
      </c>
      <c r="T424" s="12">
        <v>27</v>
      </c>
      <c r="U424" s="5">
        <v>329</v>
      </c>
      <c r="V424" s="5" t="s">
        <v>9</v>
      </c>
      <c r="W424" s="13">
        <v>46040</v>
      </c>
      <c r="X424" s="12">
        <v>1974</v>
      </c>
      <c r="Y424" s="12">
        <v>4</v>
      </c>
      <c r="Z424" s="15" t="s">
        <v>535</v>
      </c>
      <c r="AT424" s="4"/>
      <c r="AU424" s="4"/>
      <c r="AV424" s="1"/>
    </row>
    <row r="425" spans="1:48" x14ac:dyDescent="0.3">
      <c r="A425" s="14">
        <v>424</v>
      </c>
      <c r="B425" s="12">
        <v>127224</v>
      </c>
      <c r="C425" s="12" t="s">
        <v>455</v>
      </c>
      <c r="D425" s="12" t="s">
        <v>6</v>
      </c>
      <c r="E425" s="12">
        <v>30</v>
      </c>
      <c r="F425" s="12" t="s">
        <v>556</v>
      </c>
      <c r="G425" s="12" t="s">
        <v>45</v>
      </c>
      <c r="H425" s="12" t="s">
        <v>26</v>
      </c>
      <c r="I425" s="12">
        <v>28</v>
      </c>
      <c r="J425" s="12">
        <v>28</v>
      </c>
      <c r="K425" s="12">
        <v>27</v>
      </c>
      <c r="L425" s="12">
        <v>28</v>
      </c>
      <c r="M425" s="12">
        <v>27</v>
      </c>
      <c r="N425" s="12">
        <v>28</v>
      </c>
      <c r="O425" s="12">
        <v>28</v>
      </c>
      <c r="P425" s="12">
        <v>28</v>
      </c>
      <c r="Q425" s="12">
        <v>27</v>
      </c>
      <c r="R425" s="12">
        <v>28</v>
      </c>
      <c r="S425" s="12">
        <v>28</v>
      </c>
      <c r="T425" s="12">
        <v>27</v>
      </c>
      <c r="U425" s="5">
        <v>332</v>
      </c>
      <c r="V425" s="5" t="s">
        <v>16</v>
      </c>
      <c r="W425" s="13">
        <v>46258</v>
      </c>
      <c r="X425" s="12">
        <v>1992</v>
      </c>
      <c r="Y425" s="12">
        <v>5</v>
      </c>
      <c r="Z425" s="15" t="s">
        <v>535</v>
      </c>
      <c r="AT425" s="4"/>
      <c r="AU425" s="4"/>
      <c r="AV425" s="1"/>
    </row>
    <row r="426" spans="1:48" x14ac:dyDescent="0.3">
      <c r="A426" s="14">
        <v>425</v>
      </c>
      <c r="B426" s="12">
        <v>127225</v>
      </c>
      <c r="C426" s="12" t="s">
        <v>456</v>
      </c>
      <c r="D426" s="12" t="s">
        <v>6</v>
      </c>
      <c r="E426" s="12">
        <v>39</v>
      </c>
      <c r="F426" s="12" t="s">
        <v>557</v>
      </c>
      <c r="G426" s="12" t="s">
        <v>38</v>
      </c>
      <c r="H426" s="12" t="s">
        <v>28</v>
      </c>
      <c r="I426" s="12">
        <v>28</v>
      </c>
      <c r="J426" s="12">
        <v>28</v>
      </c>
      <c r="K426" s="12">
        <v>27</v>
      </c>
      <c r="L426" s="12">
        <v>28</v>
      </c>
      <c r="M426" s="12">
        <v>28</v>
      </c>
      <c r="N426" s="12">
        <v>27</v>
      </c>
      <c r="O426" s="12">
        <v>28</v>
      </c>
      <c r="P426" s="12">
        <v>27</v>
      </c>
      <c r="Q426" s="12">
        <v>28</v>
      </c>
      <c r="R426" s="12">
        <v>27</v>
      </c>
      <c r="S426" s="12">
        <v>28</v>
      </c>
      <c r="T426" s="12">
        <v>27</v>
      </c>
      <c r="U426" s="5">
        <v>331</v>
      </c>
      <c r="V426" s="5" t="s">
        <v>11</v>
      </c>
      <c r="W426" s="13">
        <v>46094</v>
      </c>
      <c r="X426" s="12">
        <v>1986</v>
      </c>
      <c r="Y426" s="12">
        <v>4</v>
      </c>
      <c r="Z426" s="15" t="s">
        <v>536</v>
      </c>
      <c r="AT426" s="4"/>
      <c r="AU426" s="4"/>
      <c r="AV426" s="1"/>
    </row>
    <row r="427" spans="1:48" x14ac:dyDescent="0.3">
      <c r="A427" s="14">
        <v>426</v>
      </c>
      <c r="B427" s="12">
        <v>127226</v>
      </c>
      <c r="C427" s="12" t="s">
        <v>457</v>
      </c>
      <c r="D427" s="12" t="s">
        <v>7</v>
      </c>
      <c r="E427" s="12">
        <v>26</v>
      </c>
      <c r="F427" s="12" t="s">
        <v>556</v>
      </c>
      <c r="G427" s="12" t="s">
        <v>45</v>
      </c>
      <c r="H427" s="12" t="s">
        <v>28</v>
      </c>
      <c r="I427" s="12">
        <v>28</v>
      </c>
      <c r="J427" s="12">
        <v>27</v>
      </c>
      <c r="K427" s="12">
        <v>27</v>
      </c>
      <c r="L427" s="12">
        <v>27</v>
      </c>
      <c r="M427" s="12">
        <v>27</v>
      </c>
      <c r="N427" s="12">
        <v>28</v>
      </c>
      <c r="O427" s="12">
        <v>28</v>
      </c>
      <c r="P427" s="12">
        <v>27</v>
      </c>
      <c r="Q427" s="12">
        <v>28</v>
      </c>
      <c r="R427" s="12">
        <v>28</v>
      </c>
      <c r="S427" s="12">
        <v>27</v>
      </c>
      <c r="T427" s="12">
        <v>27</v>
      </c>
      <c r="U427" s="5">
        <v>329</v>
      </c>
      <c r="V427" s="5" t="s">
        <v>15</v>
      </c>
      <c r="W427" s="13">
        <v>46230</v>
      </c>
      <c r="X427" s="12">
        <v>1974</v>
      </c>
      <c r="Y427" s="12">
        <v>3</v>
      </c>
      <c r="Z427" s="15" t="s">
        <v>536</v>
      </c>
      <c r="AT427" s="4"/>
      <c r="AU427" s="4"/>
      <c r="AV427" s="1"/>
    </row>
    <row r="428" spans="1:48" x14ac:dyDescent="0.3">
      <c r="A428" s="14">
        <v>427</v>
      </c>
      <c r="B428" s="12">
        <v>127227</v>
      </c>
      <c r="C428" s="12" t="s">
        <v>458</v>
      </c>
      <c r="D428" s="12" t="s">
        <v>6</v>
      </c>
      <c r="E428" s="12">
        <v>30</v>
      </c>
      <c r="F428" s="12" t="s">
        <v>556</v>
      </c>
      <c r="G428" s="12" t="s">
        <v>35</v>
      </c>
      <c r="H428" s="12" t="s">
        <v>31</v>
      </c>
      <c r="I428" s="12">
        <v>27</v>
      </c>
      <c r="J428" s="12">
        <v>28</v>
      </c>
      <c r="K428" s="12">
        <v>28</v>
      </c>
      <c r="L428" s="12">
        <v>28</v>
      </c>
      <c r="M428" s="12">
        <v>27</v>
      </c>
      <c r="N428" s="12">
        <v>27</v>
      </c>
      <c r="O428" s="12">
        <v>28</v>
      </c>
      <c r="P428" s="12">
        <v>28</v>
      </c>
      <c r="Q428" s="12">
        <v>28</v>
      </c>
      <c r="R428" s="12">
        <v>28</v>
      </c>
      <c r="S428" s="12">
        <v>28</v>
      </c>
      <c r="T428" s="12">
        <v>28</v>
      </c>
      <c r="U428" s="5">
        <v>333</v>
      </c>
      <c r="V428" s="5" t="s">
        <v>17</v>
      </c>
      <c r="W428" s="13">
        <v>46278</v>
      </c>
      <c r="X428" s="12">
        <v>1998</v>
      </c>
      <c r="Y428" s="12">
        <v>3</v>
      </c>
      <c r="Z428" s="15" t="s">
        <v>536</v>
      </c>
      <c r="AT428" s="4"/>
      <c r="AU428" s="4"/>
      <c r="AV428" s="1"/>
    </row>
    <row r="429" spans="1:48" x14ac:dyDescent="0.3">
      <c r="A429" s="14">
        <v>428</v>
      </c>
      <c r="B429" s="12">
        <v>127228</v>
      </c>
      <c r="C429" s="12" t="s">
        <v>459</v>
      </c>
      <c r="D429" s="12" t="s">
        <v>7</v>
      </c>
      <c r="E429" s="12">
        <v>32</v>
      </c>
      <c r="F429" s="12" t="s">
        <v>556</v>
      </c>
      <c r="G429" s="12" t="s">
        <v>35</v>
      </c>
      <c r="H429" s="12" t="s">
        <v>31</v>
      </c>
      <c r="I429" s="12">
        <v>27</v>
      </c>
      <c r="J429" s="12">
        <v>27</v>
      </c>
      <c r="K429" s="12">
        <v>27</v>
      </c>
      <c r="L429" s="12">
        <v>27</v>
      </c>
      <c r="M429" s="12">
        <v>28</v>
      </c>
      <c r="N429" s="12">
        <v>28</v>
      </c>
      <c r="O429" s="12">
        <v>27</v>
      </c>
      <c r="P429" s="12">
        <v>28</v>
      </c>
      <c r="Q429" s="12">
        <v>27</v>
      </c>
      <c r="R429" s="12">
        <v>28</v>
      </c>
      <c r="S429" s="12">
        <v>27</v>
      </c>
      <c r="T429" s="12">
        <v>27</v>
      </c>
      <c r="U429" s="5">
        <v>328</v>
      </c>
      <c r="V429" s="5" t="s">
        <v>13</v>
      </c>
      <c r="W429" s="13">
        <v>46155</v>
      </c>
      <c r="X429" s="12">
        <v>1968</v>
      </c>
      <c r="Y429" s="12">
        <v>3</v>
      </c>
      <c r="Z429" s="15" t="s">
        <v>535</v>
      </c>
      <c r="AT429" s="4"/>
      <c r="AU429" s="4"/>
      <c r="AV429" s="1"/>
    </row>
    <row r="430" spans="1:48" x14ac:dyDescent="0.3">
      <c r="A430" s="14">
        <v>429</v>
      </c>
      <c r="B430" s="12">
        <v>127229</v>
      </c>
      <c r="C430" s="12" t="s">
        <v>460</v>
      </c>
      <c r="D430" s="12" t="s">
        <v>7</v>
      </c>
      <c r="E430" s="12">
        <v>35</v>
      </c>
      <c r="F430" s="12" t="s">
        <v>556</v>
      </c>
      <c r="G430" s="12" t="s">
        <v>45</v>
      </c>
      <c r="H430" s="12" t="s">
        <v>28</v>
      </c>
      <c r="I430" s="12">
        <v>28</v>
      </c>
      <c r="J430" s="12">
        <v>28</v>
      </c>
      <c r="K430" s="12">
        <v>28</v>
      </c>
      <c r="L430" s="12">
        <v>27</v>
      </c>
      <c r="M430" s="12">
        <v>27</v>
      </c>
      <c r="N430" s="12">
        <v>28</v>
      </c>
      <c r="O430" s="12">
        <v>27</v>
      </c>
      <c r="P430" s="12">
        <v>27</v>
      </c>
      <c r="Q430" s="12">
        <v>28</v>
      </c>
      <c r="R430" s="12">
        <v>27</v>
      </c>
      <c r="S430" s="12">
        <v>28</v>
      </c>
      <c r="T430" s="12">
        <v>28</v>
      </c>
      <c r="U430" s="5">
        <v>331</v>
      </c>
      <c r="V430" s="5" t="s">
        <v>15</v>
      </c>
      <c r="W430" s="13">
        <v>46227</v>
      </c>
      <c r="X430" s="12">
        <v>1986</v>
      </c>
      <c r="Y430" s="12">
        <v>4</v>
      </c>
      <c r="Z430" s="15" t="s">
        <v>536</v>
      </c>
      <c r="AT430" s="4"/>
      <c r="AU430" s="4"/>
      <c r="AV430" s="1"/>
    </row>
    <row r="431" spans="1:48" x14ac:dyDescent="0.3">
      <c r="A431" s="14">
        <v>430</v>
      </c>
      <c r="B431" s="12">
        <v>127230</v>
      </c>
      <c r="C431" s="12" t="s">
        <v>461</v>
      </c>
      <c r="D431" s="12" t="s">
        <v>6</v>
      </c>
      <c r="E431" s="12">
        <v>27</v>
      </c>
      <c r="F431" s="12" t="s">
        <v>556</v>
      </c>
      <c r="G431" s="12" t="s">
        <v>30</v>
      </c>
      <c r="H431" s="12" t="s">
        <v>28</v>
      </c>
      <c r="I431" s="12">
        <v>28</v>
      </c>
      <c r="J431" s="12">
        <v>28</v>
      </c>
      <c r="K431" s="12">
        <v>27</v>
      </c>
      <c r="L431" s="12">
        <v>27</v>
      </c>
      <c r="M431" s="12">
        <v>27</v>
      </c>
      <c r="N431" s="12">
        <v>27</v>
      </c>
      <c r="O431" s="12">
        <v>27</v>
      </c>
      <c r="P431" s="12">
        <v>28</v>
      </c>
      <c r="Q431" s="12">
        <v>27</v>
      </c>
      <c r="R431" s="12">
        <v>27</v>
      </c>
      <c r="S431" s="12">
        <v>27</v>
      </c>
      <c r="T431" s="12">
        <v>28</v>
      </c>
      <c r="U431" s="5">
        <v>328</v>
      </c>
      <c r="V431" s="5" t="s">
        <v>14</v>
      </c>
      <c r="W431" s="13">
        <v>46178</v>
      </c>
      <c r="X431" s="12">
        <v>1968</v>
      </c>
      <c r="Y431" s="12">
        <v>4</v>
      </c>
      <c r="Z431" s="15" t="s">
        <v>536</v>
      </c>
      <c r="AT431" s="4"/>
      <c r="AU431" s="4"/>
      <c r="AV431" s="1"/>
    </row>
    <row r="432" spans="1:48" x14ac:dyDescent="0.3">
      <c r="A432" s="14">
        <v>431</v>
      </c>
      <c r="B432" s="12">
        <v>127231</v>
      </c>
      <c r="C432" s="12" t="s">
        <v>462</v>
      </c>
      <c r="D432" s="12" t="s">
        <v>6</v>
      </c>
      <c r="E432" s="12">
        <v>27</v>
      </c>
      <c r="F432" s="12" t="s">
        <v>556</v>
      </c>
      <c r="G432" s="12" t="s">
        <v>30</v>
      </c>
      <c r="H432" s="12" t="s">
        <v>28</v>
      </c>
      <c r="I432" s="12">
        <v>27</v>
      </c>
      <c r="J432" s="12">
        <v>28</v>
      </c>
      <c r="K432" s="12">
        <v>28</v>
      </c>
      <c r="L432" s="12">
        <v>28</v>
      </c>
      <c r="M432" s="12">
        <v>28</v>
      </c>
      <c r="N432" s="12">
        <v>28</v>
      </c>
      <c r="O432" s="12">
        <v>27</v>
      </c>
      <c r="P432" s="12">
        <v>28</v>
      </c>
      <c r="Q432" s="12">
        <v>27</v>
      </c>
      <c r="R432" s="12">
        <v>28</v>
      </c>
      <c r="S432" s="12">
        <v>28</v>
      </c>
      <c r="T432" s="12">
        <v>28</v>
      </c>
      <c r="U432" s="5">
        <v>333</v>
      </c>
      <c r="V432" s="5" t="s">
        <v>11</v>
      </c>
      <c r="W432" s="13">
        <v>46109</v>
      </c>
      <c r="X432" s="12">
        <v>1998</v>
      </c>
      <c r="Y432" s="12">
        <v>3</v>
      </c>
      <c r="Z432" s="15" t="s">
        <v>535</v>
      </c>
      <c r="AT432" s="4"/>
      <c r="AU432" s="4"/>
      <c r="AV432" s="1"/>
    </row>
    <row r="433" spans="1:48" x14ac:dyDescent="0.3">
      <c r="A433" s="14">
        <v>432</v>
      </c>
      <c r="B433" s="12">
        <v>127232</v>
      </c>
      <c r="C433" s="12" t="s">
        <v>463</v>
      </c>
      <c r="D433" s="12" t="s">
        <v>6</v>
      </c>
      <c r="E433" s="12">
        <v>44</v>
      </c>
      <c r="F433" s="12" t="s">
        <v>557</v>
      </c>
      <c r="G433" s="12" t="s">
        <v>38</v>
      </c>
      <c r="H433" s="12" t="s">
        <v>31</v>
      </c>
      <c r="I433" s="12">
        <v>28</v>
      </c>
      <c r="J433" s="12">
        <v>28</v>
      </c>
      <c r="K433" s="12">
        <v>27</v>
      </c>
      <c r="L433" s="12">
        <v>28</v>
      </c>
      <c r="M433" s="12">
        <v>27</v>
      </c>
      <c r="N433" s="12">
        <v>28</v>
      </c>
      <c r="O433" s="12">
        <v>27</v>
      </c>
      <c r="P433" s="12">
        <v>28</v>
      </c>
      <c r="Q433" s="12">
        <v>28</v>
      </c>
      <c r="R433" s="12">
        <v>27</v>
      </c>
      <c r="S433" s="12">
        <v>27</v>
      </c>
      <c r="T433" s="12">
        <v>27</v>
      </c>
      <c r="U433" s="5">
        <v>330</v>
      </c>
      <c r="V433" s="5" t="s">
        <v>11</v>
      </c>
      <c r="W433" s="13">
        <v>46093</v>
      </c>
      <c r="X433" s="12">
        <v>1980</v>
      </c>
      <c r="Y433" s="12">
        <v>4</v>
      </c>
      <c r="Z433" s="15" t="s">
        <v>535</v>
      </c>
      <c r="AT433" s="4"/>
      <c r="AU433" s="4"/>
      <c r="AV433" s="1"/>
    </row>
    <row r="434" spans="1:48" x14ac:dyDescent="0.3">
      <c r="A434" s="14">
        <v>433</v>
      </c>
      <c r="B434" s="12">
        <v>127233</v>
      </c>
      <c r="C434" s="12" t="s">
        <v>464</v>
      </c>
      <c r="D434" s="12" t="s">
        <v>6</v>
      </c>
      <c r="E434" s="12">
        <v>39</v>
      </c>
      <c r="F434" s="12" t="s">
        <v>557</v>
      </c>
      <c r="G434" s="12" t="s">
        <v>45</v>
      </c>
      <c r="H434" s="12" t="s">
        <v>31</v>
      </c>
      <c r="I434" s="12">
        <v>28</v>
      </c>
      <c r="J434" s="12">
        <v>28</v>
      </c>
      <c r="K434" s="12">
        <v>28</v>
      </c>
      <c r="L434" s="12">
        <v>27</v>
      </c>
      <c r="M434" s="12">
        <v>27</v>
      </c>
      <c r="N434" s="12">
        <v>27</v>
      </c>
      <c r="O434" s="12">
        <v>28</v>
      </c>
      <c r="P434" s="12">
        <v>27</v>
      </c>
      <c r="Q434" s="12">
        <v>27</v>
      </c>
      <c r="R434" s="12">
        <v>27</v>
      </c>
      <c r="S434" s="12">
        <v>27</v>
      </c>
      <c r="T434" s="12">
        <v>28</v>
      </c>
      <c r="U434" s="5">
        <v>329</v>
      </c>
      <c r="V434" s="5" t="s">
        <v>11</v>
      </c>
      <c r="W434" s="13">
        <v>46100</v>
      </c>
      <c r="X434" s="12">
        <v>1974</v>
      </c>
      <c r="Y434" s="12">
        <v>3</v>
      </c>
      <c r="Z434" s="15" t="s">
        <v>536</v>
      </c>
      <c r="AT434" s="4"/>
      <c r="AU434" s="4"/>
      <c r="AV434" s="1"/>
    </row>
    <row r="435" spans="1:48" x14ac:dyDescent="0.3">
      <c r="A435" s="14">
        <v>434</v>
      </c>
      <c r="B435" s="12">
        <v>127234</v>
      </c>
      <c r="C435" s="12" t="s">
        <v>465</v>
      </c>
      <c r="D435" s="12" t="s">
        <v>6</v>
      </c>
      <c r="E435" s="12">
        <v>31</v>
      </c>
      <c r="F435" s="12" t="s">
        <v>556</v>
      </c>
      <c r="G435" s="12" t="s">
        <v>25</v>
      </c>
      <c r="H435" s="12" t="s">
        <v>31</v>
      </c>
      <c r="I435" s="12">
        <v>27</v>
      </c>
      <c r="J435" s="12">
        <v>28</v>
      </c>
      <c r="K435" s="12">
        <v>27</v>
      </c>
      <c r="L435" s="12">
        <v>27</v>
      </c>
      <c r="M435" s="12">
        <v>27</v>
      </c>
      <c r="N435" s="12">
        <v>27</v>
      </c>
      <c r="O435" s="12">
        <v>28</v>
      </c>
      <c r="P435" s="12">
        <v>27</v>
      </c>
      <c r="Q435" s="12">
        <v>27</v>
      </c>
      <c r="R435" s="12">
        <v>27</v>
      </c>
      <c r="S435" s="12">
        <v>27</v>
      </c>
      <c r="T435" s="12">
        <v>27</v>
      </c>
      <c r="U435" s="5">
        <v>326</v>
      </c>
      <c r="V435" s="5" t="s">
        <v>17</v>
      </c>
      <c r="W435" s="13">
        <v>46280</v>
      </c>
      <c r="X435" s="12">
        <v>1956</v>
      </c>
      <c r="Y435" s="12">
        <v>5</v>
      </c>
      <c r="Z435" s="15" t="s">
        <v>536</v>
      </c>
      <c r="AT435" s="4"/>
      <c r="AU435" s="4"/>
      <c r="AV435" s="1"/>
    </row>
    <row r="436" spans="1:48" x14ac:dyDescent="0.3">
      <c r="A436" s="14">
        <v>435</v>
      </c>
      <c r="B436" s="12">
        <v>127235</v>
      </c>
      <c r="C436" s="12" t="s">
        <v>466</v>
      </c>
      <c r="D436" s="12" t="s">
        <v>6</v>
      </c>
      <c r="E436" s="12">
        <v>49</v>
      </c>
      <c r="F436" s="12" t="s">
        <v>558</v>
      </c>
      <c r="G436" s="12" t="s">
        <v>30</v>
      </c>
      <c r="H436" s="12" t="s">
        <v>31</v>
      </c>
      <c r="I436" s="12">
        <v>28</v>
      </c>
      <c r="J436" s="12">
        <v>27</v>
      </c>
      <c r="K436" s="12">
        <v>28</v>
      </c>
      <c r="L436" s="12">
        <v>28</v>
      </c>
      <c r="M436" s="12">
        <v>28</v>
      </c>
      <c r="N436" s="12">
        <v>28</v>
      </c>
      <c r="O436" s="12">
        <v>27</v>
      </c>
      <c r="P436" s="12">
        <v>27</v>
      </c>
      <c r="Q436" s="12">
        <v>28</v>
      </c>
      <c r="R436" s="12">
        <v>27</v>
      </c>
      <c r="S436" s="12">
        <v>27</v>
      </c>
      <c r="T436" s="12">
        <v>27</v>
      </c>
      <c r="U436" s="5">
        <v>330</v>
      </c>
      <c r="V436" s="5" t="s">
        <v>14</v>
      </c>
      <c r="W436" s="13">
        <v>46193</v>
      </c>
      <c r="X436" s="12">
        <v>1980</v>
      </c>
      <c r="Y436" s="12">
        <v>5</v>
      </c>
      <c r="Z436" s="15" t="s">
        <v>536</v>
      </c>
      <c r="AT436" s="4"/>
      <c r="AU436" s="4"/>
      <c r="AV436" s="1"/>
    </row>
    <row r="437" spans="1:48" x14ac:dyDescent="0.3">
      <c r="A437" s="14">
        <v>436</v>
      </c>
      <c r="B437" s="12">
        <v>127236</v>
      </c>
      <c r="C437" s="12" t="s">
        <v>467</v>
      </c>
      <c r="D437" s="12" t="s">
        <v>6</v>
      </c>
      <c r="E437" s="12">
        <v>27</v>
      </c>
      <c r="F437" s="12" t="s">
        <v>556</v>
      </c>
      <c r="G437" s="12" t="s">
        <v>38</v>
      </c>
      <c r="H437" s="12" t="s">
        <v>31</v>
      </c>
      <c r="I437" s="12">
        <v>27</v>
      </c>
      <c r="J437" s="12">
        <v>28</v>
      </c>
      <c r="K437" s="12">
        <v>28</v>
      </c>
      <c r="L437" s="12">
        <v>27</v>
      </c>
      <c r="M437" s="12">
        <v>28</v>
      </c>
      <c r="N437" s="12">
        <v>27</v>
      </c>
      <c r="O437" s="12">
        <v>27</v>
      </c>
      <c r="P437" s="12">
        <v>28</v>
      </c>
      <c r="Q437" s="12">
        <v>27</v>
      </c>
      <c r="R437" s="12">
        <v>27</v>
      </c>
      <c r="S437" s="12">
        <v>28</v>
      </c>
      <c r="T437" s="12">
        <v>28</v>
      </c>
      <c r="U437" s="5">
        <v>330</v>
      </c>
      <c r="V437" s="5" t="s">
        <v>17</v>
      </c>
      <c r="W437" s="13">
        <v>46293</v>
      </c>
      <c r="X437" s="12">
        <v>1980</v>
      </c>
      <c r="Y437" s="12">
        <v>4</v>
      </c>
      <c r="Z437" s="15" t="s">
        <v>536</v>
      </c>
      <c r="AT437" s="4"/>
      <c r="AU437" s="4"/>
      <c r="AV437" s="1"/>
    </row>
    <row r="438" spans="1:48" x14ac:dyDescent="0.3">
      <c r="A438" s="14">
        <v>437</v>
      </c>
      <c r="B438" s="12">
        <v>127237</v>
      </c>
      <c r="C438" s="12" t="s">
        <v>468</v>
      </c>
      <c r="D438" s="12" t="s">
        <v>7</v>
      </c>
      <c r="E438" s="12">
        <v>36</v>
      </c>
      <c r="F438" s="12" t="s">
        <v>557</v>
      </c>
      <c r="G438" s="12" t="s">
        <v>38</v>
      </c>
      <c r="H438" s="12" t="s">
        <v>31</v>
      </c>
      <c r="I438" s="12">
        <v>28</v>
      </c>
      <c r="J438" s="12">
        <v>27</v>
      </c>
      <c r="K438" s="12">
        <v>27</v>
      </c>
      <c r="L438" s="12">
        <v>27</v>
      </c>
      <c r="M438" s="12">
        <v>28</v>
      </c>
      <c r="N438" s="12">
        <v>27</v>
      </c>
      <c r="O438" s="12">
        <v>27</v>
      </c>
      <c r="P438" s="12">
        <v>28</v>
      </c>
      <c r="Q438" s="12">
        <v>28</v>
      </c>
      <c r="R438" s="12">
        <v>28</v>
      </c>
      <c r="S438" s="12">
        <v>27</v>
      </c>
      <c r="T438" s="12">
        <v>28</v>
      </c>
      <c r="U438" s="5">
        <v>330</v>
      </c>
      <c r="V438" s="5" t="s">
        <v>17</v>
      </c>
      <c r="W438" s="13">
        <v>46270</v>
      </c>
      <c r="X438" s="12">
        <v>1980</v>
      </c>
      <c r="Y438" s="12">
        <v>4</v>
      </c>
      <c r="Z438" s="15" t="s">
        <v>536</v>
      </c>
      <c r="AT438" s="4"/>
      <c r="AU438" s="4"/>
      <c r="AV438" s="1"/>
    </row>
    <row r="439" spans="1:48" x14ac:dyDescent="0.3">
      <c r="A439" s="14">
        <v>438</v>
      </c>
      <c r="B439" s="12">
        <v>127238</v>
      </c>
      <c r="C439" s="12" t="s">
        <v>469</v>
      </c>
      <c r="D439" s="12" t="s">
        <v>7</v>
      </c>
      <c r="E439" s="12">
        <v>35</v>
      </c>
      <c r="F439" s="12" t="s">
        <v>556</v>
      </c>
      <c r="G439" s="12" t="s">
        <v>30</v>
      </c>
      <c r="H439" s="12" t="s">
        <v>31</v>
      </c>
      <c r="I439" s="12">
        <v>28</v>
      </c>
      <c r="J439" s="12">
        <v>27</v>
      </c>
      <c r="K439" s="12">
        <v>28</v>
      </c>
      <c r="L439" s="12">
        <v>27</v>
      </c>
      <c r="M439" s="12">
        <v>27</v>
      </c>
      <c r="N439" s="12">
        <v>27</v>
      </c>
      <c r="O439" s="12">
        <v>28</v>
      </c>
      <c r="P439" s="12">
        <v>28</v>
      </c>
      <c r="Q439" s="12">
        <v>27</v>
      </c>
      <c r="R439" s="12">
        <v>27</v>
      </c>
      <c r="S439" s="12">
        <v>28</v>
      </c>
      <c r="T439" s="12">
        <v>27</v>
      </c>
      <c r="U439" s="5">
        <v>329</v>
      </c>
      <c r="V439" s="5" t="s">
        <v>13</v>
      </c>
      <c r="W439" s="13">
        <v>46143</v>
      </c>
      <c r="X439" s="12">
        <v>1974</v>
      </c>
      <c r="Y439" s="12">
        <v>4</v>
      </c>
      <c r="Z439" s="15" t="s">
        <v>535</v>
      </c>
      <c r="AT439" s="4"/>
      <c r="AU439" s="4"/>
      <c r="AV439" s="1"/>
    </row>
    <row r="440" spans="1:48" x14ac:dyDescent="0.3">
      <c r="A440" s="14">
        <v>439</v>
      </c>
      <c r="B440" s="12">
        <v>127239</v>
      </c>
      <c r="C440" s="12" t="s">
        <v>470</v>
      </c>
      <c r="D440" s="12" t="s">
        <v>6</v>
      </c>
      <c r="E440" s="12">
        <v>47</v>
      </c>
      <c r="F440" s="12" t="s">
        <v>558</v>
      </c>
      <c r="G440" s="12" t="s">
        <v>35</v>
      </c>
      <c r="H440" s="12" t="s">
        <v>26</v>
      </c>
      <c r="I440" s="12">
        <v>27</v>
      </c>
      <c r="J440" s="12">
        <v>28</v>
      </c>
      <c r="K440" s="12">
        <v>27</v>
      </c>
      <c r="L440" s="12">
        <v>28</v>
      </c>
      <c r="M440" s="12">
        <v>27</v>
      </c>
      <c r="N440" s="12">
        <v>27</v>
      </c>
      <c r="O440" s="12">
        <v>28</v>
      </c>
      <c r="P440" s="12">
        <v>28</v>
      </c>
      <c r="Q440" s="12">
        <v>28</v>
      </c>
      <c r="R440" s="12">
        <v>28</v>
      </c>
      <c r="S440" s="12">
        <v>27</v>
      </c>
      <c r="T440" s="12">
        <v>28</v>
      </c>
      <c r="U440" s="5">
        <v>331</v>
      </c>
      <c r="V440" s="5" t="s">
        <v>14</v>
      </c>
      <c r="W440" s="13">
        <v>46180</v>
      </c>
      <c r="X440" s="12">
        <v>1986</v>
      </c>
      <c r="Y440" s="12">
        <v>3</v>
      </c>
      <c r="Z440" s="15" t="s">
        <v>535</v>
      </c>
      <c r="AT440" s="4"/>
      <c r="AU440" s="4"/>
      <c r="AV440" s="1"/>
    </row>
    <row r="441" spans="1:48" x14ac:dyDescent="0.3">
      <c r="A441" s="14">
        <v>440</v>
      </c>
      <c r="B441" s="12">
        <v>127240</v>
      </c>
      <c r="C441" s="12" t="s">
        <v>471</v>
      </c>
      <c r="D441" s="12" t="s">
        <v>6</v>
      </c>
      <c r="E441" s="12">
        <v>37</v>
      </c>
      <c r="F441" s="12" t="s">
        <v>557</v>
      </c>
      <c r="G441" s="12" t="s">
        <v>45</v>
      </c>
      <c r="H441" s="12" t="s">
        <v>26</v>
      </c>
      <c r="I441" s="12">
        <v>28</v>
      </c>
      <c r="J441" s="12">
        <v>27</v>
      </c>
      <c r="K441" s="12">
        <v>28</v>
      </c>
      <c r="L441" s="12">
        <v>27</v>
      </c>
      <c r="M441" s="12">
        <v>28</v>
      </c>
      <c r="N441" s="12">
        <v>28</v>
      </c>
      <c r="O441" s="12">
        <v>28</v>
      </c>
      <c r="P441" s="12">
        <v>27</v>
      </c>
      <c r="Q441" s="12">
        <v>28</v>
      </c>
      <c r="R441" s="12">
        <v>27</v>
      </c>
      <c r="S441" s="12">
        <v>27</v>
      </c>
      <c r="T441" s="12">
        <v>27</v>
      </c>
      <c r="U441" s="5">
        <v>330</v>
      </c>
      <c r="V441" s="5" t="s">
        <v>15</v>
      </c>
      <c r="W441" s="13">
        <v>46225</v>
      </c>
      <c r="X441" s="12">
        <v>1980</v>
      </c>
      <c r="Y441" s="12">
        <v>4</v>
      </c>
      <c r="Z441" s="15" t="s">
        <v>535</v>
      </c>
      <c r="AT441" s="4"/>
      <c r="AU441" s="4"/>
      <c r="AV441" s="1"/>
    </row>
    <row r="442" spans="1:48" x14ac:dyDescent="0.3">
      <c r="A442" s="14">
        <v>441</v>
      </c>
      <c r="B442" s="12">
        <v>127241</v>
      </c>
      <c r="C442" s="12" t="s">
        <v>472</v>
      </c>
      <c r="D442" s="12" t="s">
        <v>6</v>
      </c>
      <c r="E442" s="12">
        <v>33</v>
      </c>
      <c r="F442" s="12" t="s">
        <v>556</v>
      </c>
      <c r="G442" s="12" t="s">
        <v>35</v>
      </c>
      <c r="H442" s="12" t="s">
        <v>28</v>
      </c>
      <c r="I442" s="12">
        <v>27</v>
      </c>
      <c r="J442" s="12">
        <v>27</v>
      </c>
      <c r="K442" s="12">
        <v>27</v>
      </c>
      <c r="L442" s="12">
        <v>28</v>
      </c>
      <c r="M442" s="12">
        <v>27</v>
      </c>
      <c r="N442" s="12">
        <v>27</v>
      </c>
      <c r="O442" s="12">
        <v>28</v>
      </c>
      <c r="P442" s="12">
        <v>28</v>
      </c>
      <c r="Q442" s="12">
        <v>27</v>
      </c>
      <c r="R442" s="12">
        <v>27</v>
      </c>
      <c r="S442" s="12">
        <v>27</v>
      </c>
      <c r="T442" s="12">
        <v>28</v>
      </c>
      <c r="U442" s="5">
        <v>328</v>
      </c>
      <c r="V442" s="5" t="s">
        <v>12</v>
      </c>
      <c r="W442" s="13">
        <v>46135</v>
      </c>
      <c r="X442" s="12">
        <v>1968</v>
      </c>
      <c r="Y442" s="12">
        <v>4</v>
      </c>
      <c r="Z442" s="15" t="s">
        <v>536</v>
      </c>
      <c r="AT442" s="4"/>
      <c r="AU442" s="4"/>
      <c r="AV442" s="1"/>
    </row>
    <row r="443" spans="1:48" x14ac:dyDescent="0.3">
      <c r="A443" s="14">
        <v>442</v>
      </c>
      <c r="B443" s="12">
        <v>127242</v>
      </c>
      <c r="C443" s="12" t="s">
        <v>473</v>
      </c>
      <c r="D443" s="12" t="s">
        <v>6</v>
      </c>
      <c r="E443" s="12">
        <v>22</v>
      </c>
      <c r="F443" s="12" t="s">
        <v>555</v>
      </c>
      <c r="G443" s="12" t="s">
        <v>45</v>
      </c>
      <c r="H443" s="12" t="s">
        <v>31</v>
      </c>
      <c r="I443" s="12">
        <v>28</v>
      </c>
      <c r="J443" s="12">
        <v>28</v>
      </c>
      <c r="K443" s="12">
        <v>28</v>
      </c>
      <c r="L443" s="12">
        <v>28</v>
      </c>
      <c r="M443" s="12">
        <v>28</v>
      </c>
      <c r="N443" s="12">
        <v>28</v>
      </c>
      <c r="O443" s="12">
        <v>27</v>
      </c>
      <c r="P443" s="12">
        <v>28</v>
      </c>
      <c r="Q443" s="12">
        <v>27</v>
      </c>
      <c r="R443" s="12">
        <v>28</v>
      </c>
      <c r="S443" s="12">
        <v>28</v>
      </c>
      <c r="T443" s="12">
        <v>28</v>
      </c>
      <c r="U443" s="5">
        <v>334</v>
      </c>
      <c r="V443" s="5" t="s">
        <v>13</v>
      </c>
      <c r="W443" s="13">
        <v>46153</v>
      </c>
      <c r="X443" s="12">
        <v>2004</v>
      </c>
      <c r="Y443" s="12">
        <v>3</v>
      </c>
      <c r="Z443" s="15" t="s">
        <v>536</v>
      </c>
      <c r="AT443" s="4"/>
      <c r="AU443" s="4"/>
      <c r="AV443" s="1"/>
    </row>
    <row r="444" spans="1:48" x14ac:dyDescent="0.3">
      <c r="A444" s="14">
        <v>443</v>
      </c>
      <c r="B444" s="12">
        <v>127243</v>
      </c>
      <c r="C444" s="12" t="s">
        <v>474</v>
      </c>
      <c r="D444" s="12" t="s">
        <v>6</v>
      </c>
      <c r="E444" s="12">
        <v>43</v>
      </c>
      <c r="F444" s="12" t="s">
        <v>557</v>
      </c>
      <c r="G444" s="12" t="s">
        <v>30</v>
      </c>
      <c r="H444" s="12" t="s">
        <v>26</v>
      </c>
      <c r="I444" s="12">
        <v>27</v>
      </c>
      <c r="J444" s="12">
        <v>27</v>
      </c>
      <c r="K444" s="12">
        <v>27</v>
      </c>
      <c r="L444" s="12">
        <v>28</v>
      </c>
      <c r="M444" s="12">
        <v>28</v>
      </c>
      <c r="N444" s="12">
        <v>27</v>
      </c>
      <c r="O444" s="12">
        <v>28</v>
      </c>
      <c r="P444" s="12">
        <v>27</v>
      </c>
      <c r="Q444" s="12">
        <v>28</v>
      </c>
      <c r="R444" s="12">
        <v>27</v>
      </c>
      <c r="S444" s="12">
        <v>27</v>
      </c>
      <c r="T444" s="12">
        <v>27</v>
      </c>
      <c r="U444" s="5">
        <v>328</v>
      </c>
      <c r="V444" s="5" t="s">
        <v>9</v>
      </c>
      <c r="W444" s="13">
        <v>46040</v>
      </c>
      <c r="X444" s="12">
        <v>1968</v>
      </c>
      <c r="Y444" s="12">
        <v>5</v>
      </c>
      <c r="Z444" s="15" t="s">
        <v>536</v>
      </c>
      <c r="AT444" s="4"/>
      <c r="AU444" s="4"/>
      <c r="AV444" s="1"/>
    </row>
    <row r="445" spans="1:48" x14ac:dyDescent="0.3">
      <c r="A445" s="14">
        <v>444</v>
      </c>
      <c r="B445" s="12">
        <v>127244</v>
      </c>
      <c r="C445" s="12" t="s">
        <v>475</v>
      </c>
      <c r="D445" s="12" t="s">
        <v>7</v>
      </c>
      <c r="E445" s="12">
        <v>26</v>
      </c>
      <c r="F445" s="12" t="s">
        <v>556</v>
      </c>
      <c r="G445" s="12" t="s">
        <v>45</v>
      </c>
      <c r="H445" s="12" t="s">
        <v>28</v>
      </c>
      <c r="I445" s="12">
        <v>28</v>
      </c>
      <c r="J445" s="12">
        <v>27</v>
      </c>
      <c r="K445" s="12">
        <v>28</v>
      </c>
      <c r="L445" s="12">
        <v>28</v>
      </c>
      <c r="M445" s="12">
        <v>28</v>
      </c>
      <c r="N445" s="12">
        <v>28</v>
      </c>
      <c r="O445" s="12">
        <v>28</v>
      </c>
      <c r="P445" s="12">
        <v>27</v>
      </c>
      <c r="Q445" s="12">
        <v>28</v>
      </c>
      <c r="R445" s="12">
        <v>28</v>
      </c>
      <c r="S445" s="12">
        <v>27</v>
      </c>
      <c r="T445" s="12">
        <v>28</v>
      </c>
      <c r="U445" s="5">
        <v>333</v>
      </c>
      <c r="V445" s="5" t="s">
        <v>13</v>
      </c>
      <c r="W445" s="13">
        <v>46158</v>
      </c>
      <c r="X445" s="12">
        <v>1998</v>
      </c>
      <c r="Y445" s="12">
        <v>4</v>
      </c>
      <c r="Z445" s="15" t="s">
        <v>536</v>
      </c>
      <c r="AT445" s="4"/>
      <c r="AU445" s="4"/>
      <c r="AV445" s="1"/>
    </row>
    <row r="446" spans="1:48" x14ac:dyDescent="0.3">
      <c r="A446" s="14">
        <v>445</v>
      </c>
      <c r="B446" s="12">
        <v>127245</v>
      </c>
      <c r="C446" s="12" t="s">
        <v>476</v>
      </c>
      <c r="D446" s="12" t="s">
        <v>6</v>
      </c>
      <c r="E446" s="12">
        <v>21</v>
      </c>
      <c r="F446" s="12" t="s">
        <v>555</v>
      </c>
      <c r="G446" s="12" t="s">
        <v>30</v>
      </c>
      <c r="H446" s="12" t="s">
        <v>26</v>
      </c>
      <c r="I446" s="12">
        <v>27</v>
      </c>
      <c r="J446" s="12">
        <v>28</v>
      </c>
      <c r="K446" s="12">
        <v>27</v>
      </c>
      <c r="L446" s="12">
        <v>27</v>
      </c>
      <c r="M446" s="12">
        <v>27</v>
      </c>
      <c r="N446" s="12">
        <v>27</v>
      </c>
      <c r="O446" s="12">
        <v>28</v>
      </c>
      <c r="P446" s="12">
        <v>27</v>
      </c>
      <c r="Q446" s="12">
        <v>28</v>
      </c>
      <c r="R446" s="12">
        <v>28</v>
      </c>
      <c r="S446" s="12">
        <v>27</v>
      </c>
      <c r="T446" s="12">
        <v>27</v>
      </c>
      <c r="U446" s="5">
        <v>328</v>
      </c>
      <c r="V446" s="5" t="s">
        <v>9</v>
      </c>
      <c r="W446" s="13">
        <v>46034</v>
      </c>
      <c r="X446" s="12">
        <v>1968</v>
      </c>
      <c r="Y446" s="12">
        <v>5</v>
      </c>
      <c r="Z446" s="15" t="s">
        <v>536</v>
      </c>
      <c r="AT446" s="4"/>
      <c r="AU446" s="4"/>
      <c r="AV446" s="1"/>
    </row>
    <row r="447" spans="1:48" x14ac:dyDescent="0.3">
      <c r="A447" s="14">
        <v>446</v>
      </c>
      <c r="B447" s="12">
        <v>127246</v>
      </c>
      <c r="C447" s="12" t="s">
        <v>477</v>
      </c>
      <c r="D447" s="12" t="s">
        <v>6</v>
      </c>
      <c r="E447" s="12">
        <v>33</v>
      </c>
      <c r="F447" s="12" t="s">
        <v>556</v>
      </c>
      <c r="G447" s="12" t="s">
        <v>35</v>
      </c>
      <c r="H447" s="12" t="s">
        <v>26</v>
      </c>
      <c r="I447" s="12">
        <v>27</v>
      </c>
      <c r="J447" s="12">
        <v>27</v>
      </c>
      <c r="K447" s="12">
        <v>27</v>
      </c>
      <c r="L447" s="12">
        <v>27</v>
      </c>
      <c r="M447" s="12">
        <v>28</v>
      </c>
      <c r="N447" s="12">
        <v>27</v>
      </c>
      <c r="O447" s="12">
        <v>28</v>
      </c>
      <c r="P447" s="12">
        <v>28</v>
      </c>
      <c r="Q447" s="12">
        <v>27</v>
      </c>
      <c r="R447" s="12">
        <v>28</v>
      </c>
      <c r="S447" s="12">
        <v>27</v>
      </c>
      <c r="T447" s="12">
        <v>27</v>
      </c>
      <c r="U447" s="5">
        <v>328</v>
      </c>
      <c r="V447" s="5" t="s">
        <v>12</v>
      </c>
      <c r="W447" s="13">
        <v>46133</v>
      </c>
      <c r="X447" s="12">
        <v>1968</v>
      </c>
      <c r="Y447" s="12">
        <v>3</v>
      </c>
      <c r="Z447" s="15" t="s">
        <v>535</v>
      </c>
      <c r="AT447" s="4"/>
      <c r="AU447" s="4"/>
      <c r="AV447" s="1"/>
    </row>
    <row r="448" spans="1:48" x14ac:dyDescent="0.3">
      <c r="A448" s="14">
        <v>447</v>
      </c>
      <c r="B448" s="12">
        <v>127247</v>
      </c>
      <c r="C448" s="12" t="s">
        <v>478</v>
      </c>
      <c r="D448" s="12" t="s">
        <v>6</v>
      </c>
      <c r="E448" s="12">
        <v>41</v>
      </c>
      <c r="F448" s="12" t="s">
        <v>557</v>
      </c>
      <c r="G448" s="12" t="s">
        <v>38</v>
      </c>
      <c r="H448" s="12" t="s">
        <v>26</v>
      </c>
      <c r="I448" s="12">
        <v>28</v>
      </c>
      <c r="J448" s="12">
        <v>27</v>
      </c>
      <c r="K448" s="12">
        <v>28</v>
      </c>
      <c r="L448" s="12">
        <v>27</v>
      </c>
      <c r="M448" s="12">
        <v>28</v>
      </c>
      <c r="N448" s="12">
        <v>27</v>
      </c>
      <c r="O448" s="12">
        <v>27</v>
      </c>
      <c r="P448" s="12">
        <v>28</v>
      </c>
      <c r="Q448" s="12">
        <v>28</v>
      </c>
      <c r="R448" s="12">
        <v>27</v>
      </c>
      <c r="S448" s="12">
        <v>28</v>
      </c>
      <c r="T448" s="12">
        <v>28</v>
      </c>
      <c r="U448" s="5">
        <v>331</v>
      </c>
      <c r="V448" s="5" t="s">
        <v>16</v>
      </c>
      <c r="W448" s="13">
        <v>46242</v>
      </c>
      <c r="X448" s="12">
        <v>1986</v>
      </c>
      <c r="Y448" s="12">
        <v>4</v>
      </c>
      <c r="Z448" s="15" t="s">
        <v>536</v>
      </c>
      <c r="AT448" s="4"/>
      <c r="AU448" s="4"/>
      <c r="AV448" s="1"/>
    </row>
    <row r="449" spans="1:48" x14ac:dyDescent="0.3">
      <c r="A449" s="14">
        <v>448</v>
      </c>
      <c r="B449" s="12">
        <v>127248</v>
      </c>
      <c r="C449" s="12" t="s">
        <v>479</v>
      </c>
      <c r="D449" s="12" t="s">
        <v>7</v>
      </c>
      <c r="E449" s="12">
        <v>30</v>
      </c>
      <c r="F449" s="12" t="s">
        <v>556</v>
      </c>
      <c r="G449" s="12" t="s">
        <v>45</v>
      </c>
      <c r="H449" s="12" t="s">
        <v>28</v>
      </c>
      <c r="I449" s="12">
        <v>27</v>
      </c>
      <c r="J449" s="12">
        <v>27</v>
      </c>
      <c r="K449" s="12">
        <v>28</v>
      </c>
      <c r="L449" s="12">
        <v>27</v>
      </c>
      <c r="M449" s="12">
        <v>27</v>
      </c>
      <c r="N449" s="12">
        <v>27</v>
      </c>
      <c r="O449" s="12">
        <v>27</v>
      </c>
      <c r="P449" s="12">
        <v>28</v>
      </c>
      <c r="Q449" s="12">
        <v>28</v>
      </c>
      <c r="R449" s="12">
        <v>27</v>
      </c>
      <c r="S449" s="12">
        <v>27</v>
      </c>
      <c r="T449" s="12">
        <v>28</v>
      </c>
      <c r="U449" s="5">
        <v>328</v>
      </c>
      <c r="V449" s="5" t="s">
        <v>12</v>
      </c>
      <c r="W449" s="13">
        <v>46137</v>
      </c>
      <c r="X449" s="12">
        <v>1968</v>
      </c>
      <c r="Y449" s="12">
        <v>3</v>
      </c>
      <c r="Z449" s="15" t="s">
        <v>535</v>
      </c>
      <c r="AT449" s="4"/>
      <c r="AU449" s="4"/>
      <c r="AV449" s="1"/>
    </row>
    <row r="450" spans="1:48" x14ac:dyDescent="0.3">
      <c r="A450" s="14">
        <v>449</v>
      </c>
      <c r="B450" s="12">
        <v>127249</v>
      </c>
      <c r="C450" s="12" t="s">
        <v>480</v>
      </c>
      <c r="D450" s="12" t="s">
        <v>6</v>
      </c>
      <c r="E450" s="12">
        <v>21</v>
      </c>
      <c r="F450" s="12" t="s">
        <v>555</v>
      </c>
      <c r="G450" s="12" t="s">
        <v>25</v>
      </c>
      <c r="H450" s="12" t="s">
        <v>26</v>
      </c>
      <c r="I450" s="12">
        <v>27</v>
      </c>
      <c r="J450" s="12">
        <v>27</v>
      </c>
      <c r="K450" s="12">
        <v>27</v>
      </c>
      <c r="L450" s="12">
        <v>28</v>
      </c>
      <c r="M450" s="12">
        <v>28</v>
      </c>
      <c r="N450" s="12">
        <v>28</v>
      </c>
      <c r="O450" s="12">
        <v>28</v>
      </c>
      <c r="P450" s="12">
        <v>27</v>
      </c>
      <c r="Q450" s="12">
        <v>28</v>
      </c>
      <c r="R450" s="12">
        <v>27</v>
      </c>
      <c r="S450" s="12">
        <v>27</v>
      </c>
      <c r="T450" s="12">
        <v>28</v>
      </c>
      <c r="U450" s="5">
        <v>330</v>
      </c>
      <c r="V450" s="5" t="s">
        <v>9</v>
      </c>
      <c r="W450" s="13">
        <v>46036</v>
      </c>
      <c r="X450" s="12">
        <v>1980</v>
      </c>
      <c r="Y450" s="12">
        <v>4</v>
      </c>
      <c r="Z450" s="15" t="s">
        <v>535</v>
      </c>
      <c r="AT450" s="4"/>
      <c r="AU450" s="4"/>
      <c r="AV450" s="1"/>
    </row>
    <row r="451" spans="1:48" x14ac:dyDescent="0.3">
      <c r="A451" s="14">
        <v>450</v>
      </c>
      <c r="B451" s="12">
        <v>127250</v>
      </c>
      <c r="C451" s="12" t="s">
        <v>481</v>
      </c>
      <c r="D451" s="12" t="s">
        <v>7</v>
      </c>
      <c r="E451" s="12">
        <v>20</v>
      </c>
      <c r="F451" s="12" t="s">
        <v>555</v>
      </c>
      <c r="G451" s="12" t="s">
        <v>35</v>
      </c>
      <c r="H451" s="12" t="s">
        <v>28</v>
      </c>
      <c r="I451" s="12">
        <v>28</v>
      </c>
      <c r="J451" s="12">
        <v>28</v>
      </c>
      <c r="K451" s="12">
        <v>28</v>
      </c>
      <c r="L451" s="12">
        <v>28</v>
      </c>
      <c r="M451" s="12">
        <v>28</v>
      </c>
      <c r="N451" s="12">
        <v>28</v>
      </c>
      <c r="O451" s="12">
        <v>28</v>
      </c>
      <c r="P451" s="12">
        <v>27</v>
      </c>
      <c r="Q451" s="12">
        <v>27</v>
      </c>
      <c r="R451" s="12">
        <v>27</v>
      </c>
      <c r="S451" s="12">
        <v>28</v>
      </c>
      <c r="T451" s="12">
        <v>28</v>
      </c>
      <c r="U451" s="5">
        <v>333</v>
      </c>
      <c r="V451" s="5" t="s">
        <v>11</v>
      </c>
      <c r="W451" s="13">
        <v>46082</v>
      </c>
      <c r="X451" s="12">
        <v>1998</v>
      </c>
      <c r="Y451" s="12">
        <v>3</v>
      </c>
      <c r="Z451" s="15" t="s">
        <v>536</v>
      </c>
      <c r="AT451" s="4"/>
      <c r="AU451" s="4"/>
      <c r="AV451" s="1"/>
    </row>
    <row r="452" spans="1:48" x14ac:dyDescent="0.3">
      <c r="A452" s="14">
        <v>451</v>
      </c>
      <c r="B452" s="12">
        <v>127251</v>
      </c>
      <c r="C452" s="12" t="s">
        <v>482</v>
      </c>
      <c r="D452" s="12" t="s">
        <v>7</v>
      </c>
      <c r="E452" s="12">
        <v>50</v>
      </c>
      <c r="F452" s="12" t="s">
        <v>558</v>
      </c>
      <c r="G452" s="12" t="s">
        <v>35</v>
      </c>
      <c r="H452" s="12" t="s">
        <v>26</v>
      </c>
      <c r="I452" s="12">
        <v>27</v>
      </c>
      <c r="J452" s="12">
        <v>27</v>
      </c>
      <c r="K452" s="12">
        <v>28</v>
      </c>
      <c r="L452" s="12">
        <v>27</v>
      </c>
      <c r="M452" s="12">
        <v>28</v>
      </c>
      <c r="N452" s="12">
        <v>27</v>
      </c>
      <c r="O452" s="12">
        <v>28</v>
      </c>
      <c r="P452" s="12">
        <v>28</v>
      </c>
      <c r="Q452" s="12">
        <v>27</v>
      </c>
      <c r="R452" s="12">
        <v>27</v>
      </c>
      <c r="S452" s="12">
        <v>27</v>
      </c>
      <c r="T452" s="12">
        <v>28</v>
      </c>
      <c r="U452" s="5">
        <v>329</v>
      </c>
      <c r="V452" s="5" t="s">
        <v>11</v>
      </c>
      <c r="W452" s="13">
        <v>46095</v>
      </c>
      <c r="X452" s="12">
        <v>1974</v>
      </c>
      <c r="Y452" s="12">
        <v>3</v>
      </c>
      <c r="Z452" s="15" t="s">
        <v>536</v>
      </c>
      <c r="AT452" s="4"/>
      <c r="AU452" s="4"/>
      <c r="AV452" s="1"/>
    </row>
    <row r="453" spans="1:48" x14ac:dyDescent="0.3">
      <c r="A453" s="14">
        <v>452</v>
      </c>
      <c r="B453" s="12">
        <v>127252</v>
      </c>
      <c r="C453" s="12" t="s">
        <v>483</v>
      </c>
      <c r="D453" s="12" t="s">
        <v>6</v>
      </c>
      <c r="E453" s="12">
        <v>45</v>
      </c>
      <c r="F453" s="12" t="s">
        <v>557</v>
      </c>
      <c r="G453" s="12" t="s">
        <v>35</v>
      </c>
      <c r="H453" s="12" t="s">
        <v>26</v>
      </c>
      <c r="I453" s="12">
        <v>28</v>
      </c>
      <c r="J453" s="12">
        <v>28</v>
      </c>
      <c r="K453" s="12">
        <v>28</v>
      </c>
      <c r="L453" s="12">
        <v>27</v>
      </c>
      <c r="M453" s="12">
        <v>28</v>
      </c>
      <c r="N453" s="12">
        <v>28</v>
      </c>
      <c r="O453" s="12">
        <v>27</v>
      </c>
      <c r="P453" s="12">
        <v>28</v>
      </c>
      <c r="Q453" s="12">
        <v>28</v>
      </c>
      <c r="R453" s="12">
        <v>27</v>
      </c>
      <c r="S453" s="12">
        <v>28</v>
      </c>
      <c r="T453" s="12">
        <v>27</v>
      </c>
      <c r="U453" s="5">
        <v>332</v>
      </c>
      <c r="V453" s="5" t="s">
        <v>9</v>
      </c>
      <c r="W453" s="13">
        <v>46052</v>
      </c>
      <c r="X453" s="12">
        <v>1992</v>
      </c>
      <c r="Y453" s="12">
        <v>5</v>
      </c>
      <c r="Z453" s="15" t="s">
        <v>535</v>
      </c>
      <c r="AT453" s="4"/>
      <c r="AU453" s="4"/>
      <c r="AV453" s="1"/>
    </row>
    <row r="454" spans="1:48" x14ac:dyDescent="0.3">
      <c r="A454" s="14">
        <v>453</v>
      </c>
      <c r="B454" s="12">
        <v>127253</v>
      </c>
      <c r="C454" s="12" t="s">
        <v>484</v>
      </c>
      <c r="D454" s="12" t="s">
        <v>6</v>
      </c>
      <c r="E454" s="12">
        <v>32</v>
      </c>
      <c r="F454" s="12" t="s">
        <v>556</v>
      </c>
      <c r="G454" s="12" t="s">
        <v>35</v>
      </c>
      <c r="H454" s="12" t="s">
        <v>31</v>
      </c>
      <c r="I454" s="12">
        <v>28</v>
      </c>
      <c r="J454" s="12">
        <v>27</v>
      </c>
      <c r="K454" s="12">
        <v>27</v>
      </c>
      <c r="L454" s="12">
        <v>28</v>
      </c>
      <c r="M454" s="12">
        <v>28</v>
      </c>
      <c r="N454" s="12">
        <v>28</v>
      </c>
      <c r="O454" s="12">
        <v>27</v>
      </c>
      <c r="P454" s="12">
        <v>28</v>
      </c>
      <c r="Q454" s="12">
        <v>28</v>
      </c>
      <c r="R454" s="12">
        <v>28</v>
      </c>
      <c r="S454" s="12">
        <v>28</v>
      </c>
      <c r="T454" s="12">
        <v>28</v>
      </c>
      <c r="U454" s="5">
        <v>333</v>
      </c>
      <c r="V454" s="5" t="s">
        <v>16</v>
      </c>
      <c r="W454" s="13">
        <v>46250</v>
      </c>
      <c r="X454" s="12">
        <v>1998</v>
      </c>
      <c r="Y454" s="12">
        <v>5</v>
      </c>
      <c r="Z454" s="15" t="s">
        <v>535</v>
      </c>
      <c r="AT454" s="4"/>
      <c r="AU454" s="4"/>
      <c r="AV454" s="1"/>
    </row>
    <row r="455" spans="1:48" x14ac:dyDescent="0.3">
      <c r="A455" s="14">
        <v>454</v>
      </c>
      <c r="B455" s="12">
        <v>127254</v>
      </c>
      <c r="C455" s="12" t="s">
        <v>485</v>
      </c>
      <c r="D455" s="12" t="s">
        <v>6</v>
      </c>
      <c r="E455" s="12">
        <v>29</v>
      </c>
      <c r="F455" s="12" t="s">
        <v>556</v>
      </c>
      <c r="G455" s="12" t="s">
        <v>25</v>
      </c>
      <c r="H455" s="12" t="s">
        <v>28</v>
      </c>
      <c r="I455" s="12">
        <v>27</v>
      </c>
      <c r="J455" s="12">
        <v>28</v>
      </c>
      <c r="K455" s="12">
        <v>28</v>
      </c>
      <c r="L455" s="12">
        <v>27</v>
      </c>
      <c r="M455" s="12">
        <v>28</v>
      </c>
      <c r="N455" s="12">
        <v>28</v>
      </c>
      <c r="O455" s="12">
        <v>27</v>
      </c>
      <c r="P455" s="12">
        <v>28</v>
      </c>
      <c r="Q455" s="12">
        <v>27</v>
      </c>
      <c r="R455" s="12">
        <v>27</v>
      </c>
      <c r="S455" s="12">
        <v>28</v>
      </c>
      <c r="T455" s="12">
        <v>28</v>
      </c>
      <c r="U455" s="5">
        <v>331</v>
      </c>
      <c r="V455" s="5" t="s">
        <v>13</v>
      </c>
      <c r="W455" s="13">
        <v>46150</v>
      </c>
      <c r="X455" s="12">
        <v>1986</v>
      </c>
      <c r="Y455" s="12">
        <v>3</v>
      </c>
      <c r="Z455" s="15" t="s">
        <v>536</v>
      </c>
      <c r="AT455" s="4"/>
      <c r="AU455" s="4"/>
      <c r="AV455" s="1"/>
    </row>
    <row r="456" spans="1:48" x14ac:dyDescent="0.3">
      <c r="A456" s="14">
        <v>455</v>
      </c>
      <c r="B456" s="12">
        <v>127255</v>
      </c>
      <c r="C456" s="12" t="s">
        <v>486</v>
      </c>
      <c r="D456" s="12" t="s">
        <v>6</v>
      </c>
      <c r="E456" s="12">
        <v>26</v>
      </c>
      <c r="F456" s="12" t="s">
        <v>556</v>
      </c>
      <c r="G456" s="12" t="s">
        <v>30</v>
      </c>
      <c r="H456" s="12" t="s">
        <v>26</v>
      </c>
      <c r="I456" s="12">
        <v>27</v>
      </c>
      <c r="J456" s="12">
        <v>27</v>
      </c>
      <c r="K456" s="12">
        <v>27</v>
      </c>
      <c r="L456" s="12">
        <v>27</v>
      </c>
      <c r="M456" s="12">
        <v>27</v>
      </c>
      <c r="N456" s="12">
        <v>27</v>
      </c>
      <c r="O456" s="12">
        <v>27</v>
      </c>
      <c r="P456" s="12">
        <v>27</v>
      </c>
      <c r="Q456" s="12">
        <v>27</v>
      </c>
      <c r="R456" s="12">
        <v>27</v>
      </c>
      <c r="S456" s="12">
        <v>28</v>
      </c>
      <c r="T456" s="12">
        <v>28</v>
      </c>
      <c r="U456" s="5">
        <v>326</v>
      </c>
      <c r="V456" s="5" t="s">
        <v>17</v>
      </c>
      <c r="W456" s="13">
        <v>46291</v>
      </c>
      <c r="X456" s="12">
        <v>1956</v>
      </c>
      <c r="Y456" s="12">
        <v>4</v>
      </c>
      <c r="Z456" s="15" t="s">
        <v>536</v>
      </c>
      <c r="AT456" s="4"/>
      <c r="AU456" s="4"/>
      <c r="AV456" s="1"/>
    </row>
    <row r="457" spans="1:48" x14ac:dyDescent="0.3">
      <c r="A457" s="14">
        <v>456</v>
      </c>
      <c r="B457" s="12">
        <v>127256</v>
      </c>
      <c r="C457" s="12" t="s">
        <v>487</v>
      </c>
      <c r="D457" s="12" t="s">
        <v>6</v>
      </c>
      <c r="E457" s="12">
        <v>44</v>
      </c>
      <c r="F457" s="12" t="s">
        <v>557</v>
      </c>
      <c r="G457" s="12" t="s">
        <v>35</v>
      </c>
      <c r="H457" s="12" t="s">
        <v>31</v>
      </c>
      <c r="I457" s="12">
        <v>28</v>
      </c>
      <c r="J457" s="12">
        <v>27</v>
      </c>
      <c r="K457" s="12">
        <v>28</v>
      </c>
      <c r="L457" s="12">
        <v>28</v>
      </c>
      <c r="M457" s="12">
        <v>27</v>
      </c>
      <c r="N457" s="12">
        <v>28</v>
      </c>
      <c r="O457" s="12">
        <v>27</v>
      </c>
      <c r="P457" s="12">
        <v>27</v>
      </c>
      <c r="Q457" s="12">
        <v>27</v>
      </c>
      <c r="R457" s="12">
        <v>27</v>
      </c>
      <c r="S457" s="12">
        <v>27</v>
      </c>
      <c r="T457" s="12">
        <v>28</v>
      </c>
      <c r="U457" s="5">
        <v>329</v>
      </c>
      <c r="V457" s="5" t="s">
        <v>17</v>
      </c>
      <c r="W457" s="13">
        <v>46279</v>
      </c>
      <c r="X457" s="12">
        <v>1974</v>
      </c>
      <c r="Y457" s="12">
        <v>3</v>
      </c>
      <c r="Z457" s="15" t="s">
        <v>536</v>
      </c>
      <c r="AT457" s="4"/>
      <c r="AU457" s="4"/>
      <c r="AV457" s="1"/>
    </row>
    <row r="458" spans="1:48" x14ac:dyDescent="0.3">
      <c r="A458" s="14">
        <v>457</v>
      </c>
      <c r="B458" s="12">
        <v>127257</v>
      </c>
      <c r="C458" s="12" t="s">
        <v>488</v>
      </c>
      <c r="D458" s="12" t="s">
        <v>6</v>
      </c>
      <c r="E458" s="12">
        <v>44</v>
      </c>
      <c r="F458" s="12" t="s">
        <v>557</v>
      </c>
      <c r="G458" s="12" t="s">
        <v>45</v>
      </c>
      <c r="H458" s="12" t="s">
        <v>28</v>
      </c>
      <c r="I458" s="12">
        <v>27</v>
      </c>
      <c r="J458" s="12">
        <v>27</v>
      </c>
      <c r="K458" s="12">
        <v>28</v>
      </c>
      <c r="L458" s="12">
        <v>27</v>
      </c>
      <c r="M458" s="12">
        <v>27</v>
      </c>
      <c r="N458" s="12">
        <v>27</v>
      </c>
      <c r="O458" s="12">
        <v>28</v>
      </c>
      <c r="P458" s="12">
        <v>27</v>
      </c>
      <c r="Q458" s="12">
        <v>27</v>
      </c>
      <c r="R458" s="12">
        <v>28</v>
      </c>
      <c r="S458" s="12">
        <v>27</v>
      </c>
      <c r="T458" s="12">
        <v>27</v>
      </c>
      <c r="U458" s="5">
        <v>327</v>
      </c>
      <c r="V458" s="5" t="s">
        <v>11</v>
      </c>
      <c r="W458" s="13">
        <v>46094</v>
      </c>
      <c r="X458" s="12">
        <v>1962</v>
      </c>
      <c r="Y458" s="12">
        <v>5</v>
      </c>
      <c r="Z458" s="15" t="s">
        <v>535</v>
      </c>
      <c r="AT458" s="4"/>
      <c r="AU458" s="4"/>
      <c r="AV458" s="1"/>
    </row>
    <row r="459" spans="1:48" x14ac:dyDescent="0.3">
      <c r="A459" s="14">
        <v>458</v>
      </c>
      <c r="B459" s="12">
        <v>127258</v>
      </c>
      <c r="C459" s="12" t="s">
        <v>489</v>
      </c>
      <c r="D459" s="12" t="s">
        <v>6</v>
      </c>
      <c r="E459" s="12">
        <v>25</v>
      </c>
      <c r="F459" s="12" t="s">
        <v>555</v>
      </c>
      <c r="G459" s="12" t="s">
        <v>45</v>
      </c>
      <c r="H459" s="12" t="s">
        <v>28</v>
      </c>
      <c r="I459" s="12">
        <v>27</v>
      </c>
      <c r="J459" s="12">
        <v>27</v>
      </c>
      <c r="K459" s="12">
        <v>27</v>
      </c>
      <c r="L459" s="12">
        <v>28</v>
      </c>
      <c r="M459" s="12">
        <v>27</v>
      </c>
      <c r="N459" s="12">
        <v>28</v>
      </c>
      <c r="O459" s="12">
        <v>27</v>
      </c>
      <c r="P459" s="12">
        <v>27</v>
      </c>
      <c r="Q459" s="12">
        <v>27</v>
      </c>
      <c r="R459" s="12">
        <v>27</v>
      </c>
      <c r="S459" s="12">
        <v>28</v>
      </c>
      <c r="T459" s="12">
        <v>28</v>
      </c>
      <c r="U459" s="5">
        <v>328</v>
      </c>
      <c r="V459" s="5" t="s">
        <v>13</v>
      </c>
      <c r="W459" s="13">
        <v>46145</v>
      </c>
      <c r="X459" s="12">
        <v>1968</v>
      </c>
      <c r="Y459" s="12">
        <v>5</v>
      </c>
      <c r="Z459" s="15" t="s">
        <v>536</v>
      </c>
      <c r="AT459" s="4"/>
      <c r="AU459" s="4"/>
      <c r="AV459" s="1"/>
    </row>
    <row r="460" spans="1:48" x14ac:dyDescent="0.3">
      <c r="A460" s="14">
        <v>459</v>
      </c>
      <c r="B460" s="12">
        <v>127259</v>
      </c>
      <c r="C460" s="12" t="s">
        <v>490</v>
      </c>
      <c r="D460" s="12" t="s">
        <v>7</v>
      </c>
      <c r="E460" s="12">
        <v>45</v>
      </c>
      <c r="F460" s="12" t="s">
        <v>557</v>
      </c>
      <c r="G460" s="12" t="s">
        <v>38</v>
      </c>
      <c r="H460" s="12" t="s">
        <v>26</v>
      </c>
      <c r="I460" s="12">
        <v>28</v>
      </c>
      <c r="J460" s="12">
        <v>27</v>
      </c>
      <c r="K460" s="12">
        <v>27</v>
      </c>
      <c r="L460" s="12">
        <v>28</v>
      </c>
      <c r="M460" s="12">
        <v>28</v>
      </c>
      <c r="N460" s="12">
        <v>27</v>
      </c>
      <c r="O460" s="12">
        <v>28</v>
      </c>
      <c r="P460" s="12">
        <v>28</v>
      </c>
      <c r="Q460" s="12">
        <v>28</v>
      </c>
      <c r="R460" s="12">
        <v>27</v>
      </c>
      <c r="S460" s="12">
        <v>28</v>
      </c>
      <c r="T460" s="12">
        <v>28</v>
      </c>
      <c r="U460" s="5">
        <v>332</v>
      </c>
      <c r="V460" s="5" t="s">
        <v>11</v>
      </c>
      <c r="W460" s="13">
        <v>46096</v>
      </c>
      <c r="X460" s="12">
        <v>1992</v>
      </c>
      <c r="Y460" s="12">
        <v>3</v>
      </c>
      <c r="Z460" s="15" t="s">
        <v>536</v>
      </c>
      <c r="AT460" s="4"/>
      <c r="AU460" s="4"/>
      <c r="AV460" s="1"/>
    </row>
    <row r="461" spans="1:48" x14ac:dyDescent="0.3">
      <c r="A461" s="14">
        <v>460</v>
      </c>
      <c r="B461" s="12">
        <v>127260</v>
      </c>
      <c r="C461" s="12" t="s">
        <v>491</v>
      </c>
      <c r="D461" s="12" t="s">
        <v>7</v>
      </c>
      <c r="E461" s="12">
        <v>29</v>
      </c>
      <c r="F461" s="12" t="s">
        <v>556</v>
      </c>
      <c r="G461" s="12" t="s">
        <v>30</v>
      </c>
      <c r="H461" s="12" t="s">
        <v>31</v>
      </c>
      <c r="I461" s="12">
        <v>28</v>
      </c>
      <c r="J461" s="12">
        <v>27</v>
      </c>
      <c r="K461" s="12">
        <v>27</v>
      </c>
      <c r="L461" s="12">
        <v>27</v>
      </c>
      <c r="M461" s="12">
        <v>27</v>
      </c>
      <c r="N461" s="12">
        <v>28</v>
      </c>
      <c r="O461" s="12">
        <v>28</v>
      </c>
      <c r="P461" s="12">
        <v>27</v>
      </c>
      <c r="Q461" s="12">
        <v>27</v>
      </c>
      <c r="R461" s="12">
        <v>28</v>
      </c>
      <c r="S461" s="12">
        <v>28</v>
      </c>
      <c r="T461" s="12">
        <v>28</v>
      </c>
      <c r="U461" s="5">
        <v>330</v>
      </c>
      <c r="V461" s="5" t="s">
        <v>15</v>
      </c>
      <c r="W461" s="13">
        <v>46209</v>
      </c>
      <c r="X461" s="12">
        <v>1980</v>
      </c>
      <c r="Y461" s="12">
        <v>3</v>
      </c>
      <c r="Z461" s="15" t="s">
        <v>535</v>
      </c>
      <c r="AT461" s="4"/>
      <c r="AU461" s="4"/>
      <c r="AV461" s="1"/>
    </row>
    <row r="462" spans="1:48" x14ac:dyDescent="0.3">
      <c r="A462" s="14">
        <v>461</v>
      </c>
      <c r="B462" s="12">
        <v>127261</v>
      </c>
      <c r="C462" s="12" t="s">
        <v>492</v>
      </c>
      <c r="D462" s="12" t="s">
        <v>6</v>
      </c>
      <c r="E462" s="12">
        <v>23</v>
      </c>
      <c r="F462" s="12" t="s">
        <v>555</v>
      </c>
      <c r="G462" s="12" t="s">
        <v>45</v>
      </c>
      <c r="H462" s="12" t="s">
        <v>28</v>
      </c>
      <c r="I462" s="12">
        <v>28</v>
      </c>
      <c r="J462" s="12">
        <v>27</v>
      </c>
      <c r="K462" s="12">
        <v>28</v>
      </c>
      <c r="L462" s="12">
        <v>28</v>
      </c>
      <c r="M462" s="12">
        <v>28</v>
      </c>
      <c r="N462" s="12">
        <v>28</v>
      </c>
      <c r="O462" s="12">
        <v>27</v>
      </c>
      <c r="P462" s="12">
        <v>27</v>
      </c>
      <c r="Q462" s="12">
        <v>28</v>
      </c>
      <c r="R462" s="12">
        <v>28</v>
      </c>
      <c r="S462" s="12">
        <v>27</v>
      </c>
      <c r="T462" s="12">
        <v>28</v>
      </c>
      <c r="U462" s="5">
        <v>332</v>
      </c>
      <c r="V462" s="5" t="s">
        <v>14</v>
      </c>
      <c r="W462" s="13">
        <v>46184</v>
      </c>
      <c r="X462" s="12">
        <v>1992</v>
      </c>
      <c r="Y462" s="12">
        <v>5</v>
      </c>
      <c r="Z462" s="15" t="s">
        <v>536</v>
      </c>
      <c r="AT462" s="4"/>
      <c r="AU462" s="4"/>
      <c r="AV462" s="1"/>
    </row>
    <row r="463" spans="1:48" x14ac:dyDescent="0.3">
      <c r="A463" s="14">
        <v>462</v>
      </c>
      <c r="B463" s="12">
        <v>127262</v>
      </c>
      <c r="C463" s="12" t="s">
        <v>493</v>
      </c>
      <c r="D463" s="12" t="s">
        <v>6</v>
      </c>
      <c r="E463" s="12">
        <v>27</v>
      </c>
      <c r="F463" s="12" t="s">
        <v>556</v>
      </c>
      <c r="G463" s="12" t="s">
        <v>25</v>
      </c>
      <c r="H463" s="12" t="s">
        <v>31</v>
      </c>
      <c r="I463" s="12">
        <v>27</v>
      </c>
      <c r="J463" s="12">
        <v>28</v>
      </c>
      <c r="K463" s="12">
        <v>27</v>
      </c>
      <c r="L463" s="12">
        <v>28</v>
      </c>
      <c r="M463" s="12">
        <v>28</v>
      </c>
      <c r="N463" s="12">
        <v>27</v>
      </c>
      <c r="O463" s="12">
        <v>28</v>
      </c>
      <c r="P463" s="12">
        <v>27</v>
      </c>
      <c r="Q463" s="12">
        <v>28</v>
      </c>
      <c r="R463" s="12">
        <v>28</v>
      </c>
      <c r="S463" s="12">
        <v>28</v>
      </c>
      <c r="T463" s="12">
        <v>27</v>
      </c>
      <c r="U463" s="5">
        <v>331</v>
      </c>
      <c r="V463" s="5" t="s">
        <v>13</v>
      </c>
      <c r="W463" s="13">
        <v>46161</v>
      </c>
      <c r="X463" s="12">
        <v>1986</v>
      </c>
      <c r="Y463" s="12">
        <v>3</v>
      </c>
      <c r="Z463" s="15" t="s">
        <v>536</v>
      </c>
      <c r="AT463" s="4"/>
      <c r="AU463" s="4"/>
      <c r="AV463" s="1"/>
    </row>
    <row r="464" spans="1:48" x14ac:dyDescent="0.3">
      <c r="A464" s="14">
        <v>463</v>
      </c>
      <c r="B464" s="12">
        <v>127263</v>
      </c>
      <c r="C464" s="12" t="s">
        <v>494</v>
      </c>
      <c r="D464" s="12" t="s">
        <v>6</v>
      </c>
      <c r="E464" s="12">
        <v>48</v>
      </c>
      <c r="F464" s="12" t="s">
        <v>558</v>
      </c>
      <c r="G464" s="12" t="s">
        <v>35</v>
      </c>
      <c r="H464" s="12" t="s">
        <v>31</v>
      </c>
      <c r="I464" s="12">
        <v>27</v>
      </c>
      <c r="J464" s="12">
        <v>28</v>
      </c>
      <c r="K464" s="12">
        <v>28</v>
      </c>
      <c r="L464" s="12">
        <v>28</v>
      </c>
      <c r="M464" s="12">
        <v>27</v>
      </c>
      <c r="N464" s="12">
        <v>27</v>
      </c>
      <c r="O464" s="12">
        <v>28</v>
      </c>
      <c r="P464" s="12">
        <v>28</v>
      </c>
      <c r="Q464" s="12">
        <v>27</v>
      </c>
      <c r="R464" s="12">
        <v>27</v>
      </c>
      <c r="S464" s="12">
        <v>28</v>
      </c>
      <c r="T464" s="12">
        <v>28</v>
      </c>
      <c r="U464" s="5">
        <v>331</v>
      </c>
      <c r="V464" s="5" t="s">
        <v>10</v>
      </c>
      <c r="W464" s="13">
        <v>46064</v>
      </c>
      <c r="X464" s="12">
        <v>1986</v>
      </c>
      <c r="Y464" s="12">
        <v>4</v>
      </c>
      <c r="Z464" s="15" t="s">
        <v>535</v>
      </c>
      <c r="AT464" s="4"/>
      <c r="AU464" s="4"/>
      <c r="AV464" s="1"/>
    </row>
    <row r="465" spans="1:48" x14ac:dyDescent="0.3">
      <c r="A465" s="14">
        <v>464</v>
      </c>
      <c r="B465" s="12">
        <v>127264</v>
      </c>
      <c r="C465" s="12" t="s">
        <v>495</v>
      </c>
      <c r="D465" s="12" t="s">
        <v>6</v>
      </c>
      <c r="E465" s="12">
        <v>33</v>
      </c>
      <c r="F465" s="12" t="s">
        <v>556</v>
      </c>
      <c r="G465" s="12" t="s">
        <v>45</v>
      </c>
      <c r="H465" s="12" t="s">
        <v>31</v>
      </c>
      <c r="I465" s="12">
        <v>28</v>
      </c>
      <c r="J465" s="12">
        <v>27</v>
      </c>
      <c r="K465" s="12">
        <v>27</v>
      </c>
      <c r="L465" s="12">
        <v>28</v>
      </c>
      <c r="M465" s="12">
        <v>28</v>
      </c>
      <c r="N465" s="12">
        <v>27</v>
      </c>
      <c r="O465" s="12">
        <v>28</v>
      </c>
      <c r="P465" s="12">
        <v>28</v>
      </c>
      <c r="Q465" s="12">
        <v>28</v>
      </c>
      <c r="R465" s="12">
        <v>27</v>
      </c>
      <c r="S465" s="12">
        <v>27</v>
      </c>
      <c r="T465" s="12">
        <v>27</v>
      </c>
      <c r="U465" s="5">
        <v>330</v>
      </c>
      <c r="V465" s="5" t="s">
        <v>10</v>
      </c>
      <c r="W465" s="13">
        <v>46068</v>
      </c>
      <c r="X465" s="12">
        <v>1980</v>
      </c>
      <c r="Y465" s="12">
        <v>4</v>
      </c>
      <c r="Z465" s="15" t="s">
        <v>535</v>
      </c>
      <c r="AT465" s="4"/>
      <c r="AU465" s="4"/>
      <c r="AV465" s="1"/>
    </row>
    <row r="466" spans="1:48" x14ac:dyDescent="0.3">
      <c r="A466" s="14">
        <v>465</v>
      </c>
      <c r="B466" s="12">
        <v>127265</v>
      </c>
      <c r="C466" s="12" t="s">
        <v>496</v>
      </c>
      <c r="D466" s="12" t="s">
        <v>6</v>
      </c>
      <c r="E466" s="12">
        <v>20</v>
      </c>
      <c r="F466" s="12" t="s">
        <v>555</v>
      </c>
      <c r="G466" s="12" t="s">
        <v>45</v>
      </c>
      <c r="H466" s="12" t="s">
        <v>26</v>
      </c>
      <c r="I466" s="12">
        <v>28</v>
      </c>
      <c r="J466" s="12">
        <v>28</v>
      </c>
      <c r="K466" s="12">
        <v>27</v>
      </c>
      <c r="L466" s="12">
        <v>28</v>
      </c>
      <c r="M466" s="12">
        <v>28</v>
      </c>
      <c r="N466" s="12">
        <v>28</v>
      </c>
      <c r="O466" s="12">
        <v>27</v>
      </c>
      <c r="P466" s="12">
        <v>27</v>
      </c>
      <c r="Q466" s="12">
        <v>27</v>
      </c>
      <c r="R466" s="12">
        <v>28</v>
      </c>
      <c r="S466" s="12">
        <v>27</v>
      </c>
      <c r="T466" s="12">
        <v>27</v>
      </c>
      <c r="U466" s="5">
        <v>330</v>
      </c>
      <c r="V466" s="5" t="s">
        <v>13</v>
      </c>
      <c r="W466" s="13">
        <v>46166</v>
      </c>
      <c r="X466" s="12">
        <v>1980</v>
      </c>
      <c r="Y466" s="12">
        <v>4</v>
      </c>
      <c r="Z466" s="15" t="s">
        <v>535</v>
      </c>
      <c r="AT466" s="4"/>
      <c r="AU466" s="4"/>
      <c r="AV466" s="1"/>
    </row>
    <row r="467" spans="1:48" x14ac:dyDescent="0.3">
      <c r="A467" s="14">
        <v>466</v>
      </c>
      <c r="B467" s="12">
        <v>127266</v>
      </c>
      <c r="C467" s="12" t="s">
        <v>497</v>
      </c>
      <c r="D467" s="12" t="s">
        <v>7</v>
      </c>
      <c r="E467" s="12">
        <v>39</v>
      </c>
      <c r="F467" s="12" t="s">
        <v>557</v>
      </c>
      <c r="G467" s="12" t="s">
        <v>45</v>
      </c>
      <c r="H467" s="12" t="s">
        <v>28</v>
      </c>
      <c r="I467" s="12">
        <v>28</v>
      </c>
      <c r="J467" s="12">
        <v>28</v>
      </c>
      <c r="K467" s="12">
        <v>27</v>
      </c>
      <c r="L467" s="12">
        <v>27</v>
      </c>
      <c r="M467" s="12">
        <v>27</v>
      </c>
      <c r="N467" s="12">
        <v>28</v>
      </c>
      <c r="O467" s="12">
        <v>28</v>
      </c>
      <c r="P467" s="12">
        <v>27</v>
      </c>
      <c r="Q467" s="12">
        <v>27</v>
      </c>
      <c r="R467" s="12">
        <v>28</v>
      </c>
      <c r="S467" s="12">
        <v>28</v>
      </c>
      <c r="T467" s="12">
        <v>27</v>
      </c>
      <c r="U467" s="5">
        <v>330</v>
      </c>
      <c r="V467" s="5" t="s">
        <v>12</v>
      </c>
      <c r="W467" s="13">
        <v>46121</v>
      </c>
      <c r="X467" s="12">
        <v>1980</v>
      </c>
      <c r="Y467" s="12">
        <v>5</v>
      </c>
      <c r="Z467" s="15" t="s">
        <v>536</v>
      </c>
      <c r="AT467" s="4"/>
      <c r="AU467" s="4"/>
      <c r="AV467" s="1"/>
    </row>
    <row r="468" spans="1:48" x14ac:dyDescent="0.3">
      <c r="A468" s="14">
        <v>467</v>
      </c>
      <c r="B468" s="12">
        <v>127267</v>
      </c>
      <c r="C468" s="12" t="s">
        <v>498</v>
      </c>
      <c r="D468" s="12" t="s">
        <v>6</v>
      </c>
      <c r="E468" s="12">
        <v>40</v>
      </c>
      <c r="F468" s="12" t="s">
        <v>557</v>
      </c>
      <c r="G468" s="12" t="s">
        <v>45</v>
      </c>
      <c r="H468" s="12" t="s">
        <v>31</v>
      </c>
      <c r="I468" s="12">
        <v>27</v>
      </c>
      <c r="J468" s="12">
        <v>28</v>
      </c>
      <c r="K468" s="12">
        <v>28</v>
      </c>
      <c r="L468" s="12">
        <v>28</v>
      </c>
      <c r="M468" s="12">
        <v>27</v>
      </c>
      <c r="N468" s="12">
        <v>27</v>
      </c>
      <c r="O468" s="12">
        <v>27</v>
      </c>
      <c r="P468" s="12">
        <v>27</v>
      </c>
      <c r="Q468" s="12">
        <v>27</v>
      </c>
      <c r="R468" s="12">
        <v>28</v>
      </c>
      <c r="S468" s="12">
        <v>28</v>
      </c>
      <c r="T468" s="12">
        <v>27</v>
      </c>
      <c r="U468" s="5">
        <v>329</v>
      </c>
      <c r="V468" s="5" t="s">
        <v>15</v>
      </c>
      <c r="W468" s="13">
        <v>46207</v>
      </c>
      <c r="X468" s="12">
        <v>1974</v>
      </c>
      <c r="Y468" s="12">
        <v>4</v>
      </c>
      <c r="Z468" s="15" t="s">
        <v>535</v>
      </c>
      <c r="AT468" s="4"/>
      <c r="AU468" s="4"/>
      <c r="AV468" s="1"/>
    </row>
    <row r="469" spans="1:48" x14ac:dyDescent="0.3">
      <c r="A469" s="14">
        <v>468</v>
      </c>
      <c r="B469" s="12">
        <v>127268</v>
      </c>
      <c r="C469" s="12" t="s">
        <v>499</v>
      </c>
      <c r="D469" s="12" t="s">
        <v>6</v>
      </c>
      <c r="E469" s="12">
        <v>31</v>
      </c>
      <c r="F469" s="12" t="s">
        <v>556</v>
      </c>
      <c r="G469" s="12" t="s">
        <v>38</v>
      </c>
      <c r="H469" s="12" t="s">
        <v>28</v>
      </c>
      <c r="I469" s="12">
        <v>27</v>
      </c>
      <c r="J469" s="12">
        <v>27</v>
      </c>
      <c r="K469" s="12">
        <v>28</v>
      </c>
      <c r="L469" s="12">
        <v>27</v>
      </c>
      <c r="M469" s="12">
        <v>27</v>
      </c>
      <c r="N469" s="12">
        <v>28</v>
      </c>
      <c r="O469" s="12">
        <v>28</v>
      </c>
      <c r="P469" s="12">
        <v>27</v>
      </c>
      <c r="Q469" s="12">
        <v>27</v>
      </c>
      <c r="R469" s="12">
        <v>28</v>
      </c>
      <c r="S469" s="12">
        <v>27</v>
      </c>
      <c r="T469" s="12">
        <v>28</v>
      </c>
      <c r="U469" s="5">
        <v>329</v>
      </c>
      <c r="V469" s="5" t="s">
        <v>16</v>
      </c>
      <c r="W469" s="13">
        <v>46245</v>
      </c>
      <c r="X469" s="12">
        <v>1974</v>
      </c>
      <c r="Y469" s="12">
        <v>5</v>
      </c>
      <c r="Z469" s="15" t="s">
        <v>536</v>
      </c>
      <c r="AT469" s="4"/>
      <c r="AU469" s="4"/>
      <c r="AV469" s="1"/>
    </row>
    <row r="470" spans="1:48" x14ac:dyDescent="0.3">
      <c r="A470" s="14">
        <v>469</v>
      </c>
      <c r="B470" s="12">
        <v>127269</v>
      </c>
      <c r="C470" s="12" t="s">
        <v>500</v>
      </c>
      <c r="D470" s="12" t="s">
        <v>6</v>
      </c>
      <c r="E470" s="12">
        <v>34</v>
      </c>
      <c r="F470" s="12" t="s">
        <v>556</v>
      </c>
      <c r="G470" s="12" t="s">
        <v>45</v>
      </c>
      <c r="H470" s="12" t="s">
        <v>26</v>
      </c>
      <c r="I470" s="12">
        <v>28</v>
      </c>
      <c r="J470" s="12">
        <v>28</v>
      </c>
      <c r="K470" s="12">
        <v>27</v>
      </c>
      <c r="L470" s="12">
        <v>28</v>
      </c>
      <c r="M470" s="12">
        <v>28</v>
      </c>
      <c r="N470" s="12">
        <v>27</v>
      </c>
      <c r="O470" s="12">
        <v>27</v>
      </c>
      <c r="P470" s="12">
        <v>28</v>
      </c>
      <c r="Q470" s="12">
        <v>27</v>
      </c>
      <c r="R470" s="12">
        <v>27</v>
      </c>
      <c r="S470" s="12">
        <v>28</v>
      </c>
      <c r="T470" s="12">
        <v>28</v>
      </c>
      <c r="U470" s="5">
        <v>331</v>
      </c>
      <c r="V470" s="5" t="s">
        <v>10</v>
      </c>
      <c r="W470" s="13">
        <v>46071</v>
      </c>
      <c r="X470" s="12">
        <v>1986</v>
      </c>
      <c r="Y470" s="12">
        <v>3</v>
      </c>
      <c r="Z470" s="15" t="s">
        <v>535</v>
      </c>
      <c r="AT470" s="4"/>
      <c r="AU470" s="4"/>
      <c r="AV470" s="1"/>
    </row>
    <row r="471" spans="1:48" x14ac:dyDescent="0.3">
      <c r="A471" s="14">
        <v>470</v>
      </c>
      <c r="B471" s="12">
        <v>127270</v>
      </c>
      <c r="C471" s="12" t="s">
        <v>501</v>
      </c>
      <c r="D471" s="12" t="s">
        <v>7</v>
      </c>
      <c r="E471" s="12">
        <v>30</v>
      </c>
      <c r="F471" s="12" t="s">
        <v>556</v>
      </c>
      <c r="G471" s="12" t="s">
        <v>35</v>
      </c>
      <c r="H471" s="12" t="s">
        <v>31</v>
      </c>
      <c r="I471" s="12">
        <v>27</v>
      </c>
      <c r="J471" s="12">
        <v>27</v>
      </c>
      <c r="K471" s="12">
        <v>27</v>
      </c>
      <c r="L471" s="12">
        <v>28</v>
      </c>
      <c r="M471" s="12">
        <v>28</v>
      </c>
      <c r="N471" s="12">
        <v>28</v>
      </c>
      <c r="O471" s="12">
        <v>27</v>
      </c>
      <c r="P471" s="12">
        <v>28</v>
      </c>
      <c r="Q471" s="12">
        <v>27</v>
      </c>
      <c r="R471" s="12">
        <v>28</v>
      </c>
      <c r="S471" s="12">
        <v>28</v>
      </c>
      <c r="T471" s="12">
        <v>27</v>
      </c>
      <c r="U471" s="5">
        <v>330</v>
      </c>
      <c r="V471" s="5" t="s">
        <v>12</v>
      </c>
      <c r="W471" s="13">
        <v>46118</v>
      </c>
      <c r="X471" s="12">
        <v>1980</v>
      </c>
      <c r="Y471" s="12">
        <v>3</v>
      </c>
      <c r="Z471" s="15" t="s">
        <v>535</v>
      </c>
      <c r="AT471" s="4"/>
      <c r="AU471" s="4"/>
      <c r="AV471" s="1"/>
    </row>
    <row r="472" spans="1:48" x14ac:dyDescent="0.3">
      <c r="A472" s="14">
        <v>471</v>
      </c>
      <c r="B472" s="12">
        <v>127271</v>
      </c>
      <c r="C472" s="12" t="s">
        <v>502</v>
      </c>
      <c r="D472" s="12" t="s">
        <v>6</v>
      </c>
      <c r="E472" s="12">
        <v>35</v>
      </c>
      <c r="F472" s="12" t="s">
        <v>556</v>
      </c>
      <c r="G472" s="12" t="s">
        <v>30</v>
      </c>
      <c r="H472" s="12" t="s">
        <v>26</v>
      </c>
      <c r="I472" s="12">
        <v>27</v>
      </c>
      <c r="J472" s="12">
        <v>28</v>
      </c>
      <c r="K472" s="12">
        <v>28</v>
      </c>
      <c r="L472" s="12">
        <v>27</v>
      </c>
      <c r="M472" s="12">
        <v>28</v>
      </c>
      <c r="N472" s="12">
        <v>27</v>
      </c>
      <c r="O472" s="12">
        <v>27</v>
      </c>
      <c r="P472" s="12">
        <v>28</v>
      </c>
      <c r="Q472" s="12">
        <v>28</v>
      </c>
      <c r="R472" s="12">
        <v>28</v>
      </c>
      <c r="S472" s="12">
        <v>28</v>
      </c>
      <c r="T472" s="12">
        <v>27</v>
      </c>
      <c r="U472" s="5">
        <v>331</v>
      </c>
      <c r="V472" s="5" t="s">
        <v>13</v>
      </c>
      <c r="W472" s="13">
        <v>46149</v>
      </c>
      <c r="X472" s="12">
        <v>1986</v>
      </c>
      <c r="Y472" s="12">
        <v>3</v>
      </c>
      <c r="Z472" s="15" t="s">
        <v>536</v>
      </c>
      <c r="AT472" s="4"/>
      <c r="AU472" s="4"/>
      <c r="AV472" s="1"/>
    </row>
    <row r="473" spans="1:48" x14ac:dyDescent="0.3">
      <c r="A473" s="14">
        <v>472</v>
      </c>
      <c r="B473" s="12">
        <v>127272</v>
      </c>
      <c r="C473" s="12" t="s">
        <v>503</v>
      </c>
      <c r="D473" s="12" t="s">
        <v>7</v>
      </c>
      <c r="E473" s="12">
        <v>47</v>
      </c>
      <c r="F473" s="12" t="s">
        <v>558</v>
      </c>
      <c r="G473" s="12" t="s">
        <v>45</v>
      </c>
      <c r="H473" s="12" t="s">
        <v>28</v>
      </c>
      <c r="I473" s="12">
        <v>28</v>
      </c>
      <c r="J473" s="12">
        <v>27</v>
      </c>
      <c r="K473" s="12">
        <v>27</v>
      </c>
      <c r="L473" s="12">
        <v>28</v>
      </c>
      <c r="M473" s="12">
        <v>27</v>
      </c>
      <c r="N473" s="12">
        <v>27</v>
      </c>
      <c r="O473" s="12">
        <v>27</v>
      </c>
      <c r="P473" s="12">
        <v>27</v>
      </c>
      <c r="Q473" s="12">
        <v>28</v>
      </c>
      <c r="R473" s="12">
        <v>28</v>
      </c>
      <c r="S473" s="12">
        <v>27</v>
      </c>
      <c r="T473" s="12">
        <v>28</v>
      </c>
      <c r="U473" s="5">
        <v>329</v>
      </c>
      <c r="V473" s="5" t="s">
        <v>14</v>
      </c>
      <c r="W473" s="13">
        <v>46195</v>
      </c>
      <c r="X473" s="12">
        <v>1974</v>
      </c>
      <c r="Y473" s="12">
        <v>4</v>
      </c>
      <c r="Z473" s="15" t="s">
        <v>536</v>
      </c>
      <c r="AT473" s="4"/>
      <c r="AU473" s="4"/>
      <c r="AV473" s="1"/>
    </row>
    <row r="474" spans="1:48" x14ac:dyDescent="0.3">
      <c r="A474" s="14">
        <v>473</v>
      </c>
      <c r="B474" s="12">
        <v>127273</v>
      </c>
      <c r="C474" s="12" t="s">
        <v>504</v>
      </c>
      <c r="D474" s="12" t="s">
        <v>7</v>
      </c>
      <c r="E474" s="12">
        <v>42</v>
      </c>
      <c r="F474" s="12" t="s">
        <v>557</v>
      </c>
      <c r="G474" s="12" t="s">
        <v>38</v>
      </c>
      <c r="H474" s="12" t="s">
        <v>26</v>
      </c>
      <c r="I474" s="12">
        <v>27</v>
      </c>
      <c r="J474" s="12">
        <v>27</v>
      </c>
      <c r="K474" s="12">
        <v>27</v>
      </c>
      <c r="L474" s="12">
        <v>28</v>
      </c>
      <c r="M474" s="12">
        <v>28</v>
      </c>
      <c r="N474" s="12">
        <v>28</v>
      </c>
      <c r="O474" s="12">
        <v>27</v>
      </c>
      <c r="P474" s="12">
        <v>28</v>
      </c>
      <c r="Q474" s="12">
        <v>28</v>
      </c>
      <c r="R474" s="12">
        <v>28</v>
      </c>
      <c r="S474" s="12">
        <v>28</v>
      </c>
      <c r="T474" s="12">
        <v>28</v>
      </c>
      <c r="U474" s="5">
        <v>332</v>
      </c>
      <c r="V474" s="5" t="s">
        <v>17</v>
      </c>
      <c r="W474" s="13">
        <v>46272</v>
      </c>
      <c r="X474" s="12">
        <v>1992</v>
      </c>
      <c r="Y474" s="12">
        <v>4</v>
      </c>
      <c r="Z474" s="15" t="s">
        <v>535</v>
      </c>
      <c r="AT474" s="4"/>
      <c r="AU474" s="4"/>
      <c r="AV474" s="1"/>
    </row>
    <row r="475" spans="1:48" x14ac:dyDescent="0.3">
      <c r="A475" s="14">
        <v>474</v>
      </c>
      <c r="B475" s="12">
        <v>127274</v>
      </c>
      <c r="C475" s="12" t="s">
        <v>505</v>
      </c>
      <c r="D475" s="12" t="s">
        <v>6</v>
      </c>
      <c r="E475" s="12">
        <v>30</v>
      </c>
      <c r="F475" s="12" t="s">
        <v>556</v>
      </c>
      <c r="G475" s="12" t="s">
        <v>30</v>
      </c>
      <c r="H475" s="12" t="s">
        <v>31</v>
      </c>
      <c r="I475" s="12">
        <v>28</v>
      </c>
      <c r="J475" s="12">
        <v>28</v>
      </c>
      <c r="K475" s="12">
        <v>27</v>
      </c>
      <c r="L475" s="12">
        <v>27</v>
      </c>
      <c r="M475" s="12">
        <v>27</v>
      </c>
      <c r="N475" s="12">
        <v>27</v>
      </c>
      <c r="O475" s="12">
        <v>28</v>
      </c>
      <c r="P475" s="12">
        <v>27</v>
      </c>
      <c r="Q475" s="12">
        <v>28</v>
      </c>
      <c r="R475" s="12">
        <v>28</v>
      </c>
      <c r="S475" s="12">
        <v>27</v>
      </c>
      <c r="T475" s="12">
        <v>27</v>
      </c>
      <c r="U475" s="5">
        <v>329</v>
      </c>
      <c r="V475" s="5" t="s">
        <v>14</v>
      </c>
      <c r="W475" s="13">
        <v>46180</v>
      </c>
      <c r="X475" s="12">
        <v>1974</v>
      </c>
      <c r="Y475" s="12">
        <v>5</v>
      </c>
      <c r="Z475" s="15" t="s">
        <v>536</v>
      </c>
      <c r="AT475" s="4"/>
      <c r="AU475" s="4"/>
      <c r="AV475" s="1"/>
    </row>
    <row r="476" spans="1:48" x14ac:dyDescent="0.3">
      <c r="A476" s="14">
        <v>475</v>
      </c>
      <c r="B476" s="12">
        <v>127275</v>
      </c>
      <c r="C476" s="12" t="s">
        <v>506</v>
      </c>
      <c r="D476" s="12" t="s">
        <v>6</v>
      </c>
      <c r="E476" s="12">
        <v>39</v>
      </c>
      <c r="F476" s="12" t="s">
        <v>557</v>
      </c>
      <c r="G476" s="12" t="s">
        <v>30</v>
      </c>
      <c r="H476" s="12" t="s">
        <v>31</v>
      </c>
      <c r="I476" s="12">
        <v>27</v>
      </c>
      <c r="J476" s="12">
        <v>28</v>
      </c>
      <c r="K476" s="12">
        <v>28</v>
      </c>
      <c r="L476" s="12">
        <v>28</v>
      </c>
      <c r="M476" s="12">
        <v>28</v>
      </c>
      <c r="N476" s="12">
        <v>27</v>
      </c>
      <c r="O476" s="12">
        <v>28</v>
      </c>
      <c r="P476" s="12">
        <v>27</v>
      </c>
      <c r="Q476" s="12">
        <v>27</v>
      </c>
      <c r="R476" s="12">
        <v>27</v>
      </c>
      <c r="S476" s="12">
        <v>27</v>
      </c>
      <c r="T476" s="12">
        <v>28</v>
      </c>
      <c r="U476" s="5">
        <v>330</v>
      </c>
      <c r="V476" s="5" t="s">
        <v>10</v>
      </c>
      <c r="W476" s="13">
        <v>46055</v>
      </c>
      <c r="X476" s="12">
        <v>1980</v>
      </c>
      <c r="Y476" s="12">
        <v>3</v>
      </c>
      <c r="Z476" s="15" t="s">
        <v>535</v>
      </c>
      <c r="AT476" s="4"/>
      <c r="AU476" s="4"/>
      <c r="AV476" s="1"/>
    </row>
    <row r="477" spans="1:48" x14ac:dyDescent="0.3">
      <c r="A477" s="14">
        <v>476</v>
      </c>
      <c r="B477" s="12">
        <v>127276</v>
      </c>
      <c r="C477" s="12" t="s">
        <v>507</v>
      </c>
      <c r="D477" s="12" t="s">
        <v>6</v>
      </c>
      <c r="E477" s="12">
        <v>48</v>
      </c>
      <c r="F477" s="12" t="s">
        <v>558</v>
      </c>
      <c r="G477" s="12" t="s">
        <v>25</v>
      </c>
      <c r="H477" s="12" t="s">
        <v>31</v>
      </c>
      <c r="I477" s="12">
        <v>28</v>
      </c>
      <c r="J477" s="12">
        <v>28</v>
      </c>
      <c r="K477" s="12">
        <v>28</v>
      </c>
      <c r="L477" s="12">
        <v>27</v>
      </c>
      <c r="M477" s="12">
        <v>28</v>
      </c>
      <c r="N477" s="12">
        <v>28</v>
      </c>
      <c r="O477" s="12">
        <v>28</v>
      </c>
      <c r="P477" s="12">
        <v>28</v>
      </c>
      <c r="Q477" s="12">
        <v>28</v>
      </c>
      <c r="R477" s="12">
        <v>28</v>
      </c>
      <c r="S477" s="12">
        <v>27</v>
      </c>
      <c r="T477" s="12">
        <v>27</v>
      </c>
      <c r="U477" s="5">
        <v>333</v>
      </c>
      <c r="V477" s="5" t="s">
        <v>12</v>
      </c>
      <c r="W477" s="13">
        <v>46140</v>
      </c>
      <c r="X477" s="12">
        <v>1998</v>
      </c>
      <c r="Y477" s="12">
        <v>5</v>
      </c>
      <c r="Z477" s="15" t="s">
        <v>536</v>
      </c>
      <c r="AT477" s="4"/>
      <c r="AU477" s="4"/>
      <c r="AV477" s="1"/>
    </row>
    <row r="478" spans="1:48" x14ac:dyDescent="0.3">
      <c r="A478" s="14">
        <v>477</v>
      </c>
      <c r="B478" s="12">
        <v>127277</v>
      </c>
      <c r="C478" s="12" t="s">
        <v>508</v>
      </c>
      <c r="D478" s="12" t="s">
        <v>6</v>
      </c>
      <c r="E478" s="12">
        <v>28</v>
      </c>
      <c r="F478" s="12" t="s">
        <v>556</v>
      </c>
      <c r="G478" s="12" t="s">
        <v>25</v>
      </c>
      <c r="H478" s="12" t="s">
        <v>31</v>
      </c>
      <c r="I478" s="12">
        <v>27</v>
      </c>
      <c r="J478" s="12">
        <v>27</v>
      </c>
      <c r="K478" s="12">
        <v>27</v>
      </c>
      <c r="L478" s="12">
        <v>27</v>
      </c>
      <c r="M478" s="12">
        <v>28</v>
      </c>
      <c r="N478" s="12">
        <v>28</v>
      </c>
      <c r="O478" s="12">
        <v>28</v>
      </c>
      <c r="P478" s="12">
        <v>27</v>
      </c>
      <c r="Q478" s="12">
        <v>28</v>
      </c>
      <c r="R478" s="12">
        <v>28</v>
      </c>
      <c r="S478" s="12">
        <v>28</v>
      </c>
      <c r="T478" s="12">
        <v>28</v>
      </c>
      <c r="U478" s="5">
        <v>331</v>
      </c>
      <c r="V478" s="5" t="s">
        <v>9</v>
      </c>
      <c r="W478" s="13">
        <v>46042</v>
      </c>
      <c r="X478" s="12">
        <v>1986</v>
      </c>
      <c r="Y478" s="12">
        <v>4</v>
      </c>
      <c r="Z478" s="15" t="s">
        <v>535</v>
      </c>
      <c r="AT478" s="4"/>
      <c r="AU478" s="4"/>
      <c r="AV478" s="1"/>
    </row>
    <row r="479" spans="1:48" x14ac:dyDescent="0.3">
      <c r="A479" s="14">
        <v>478</v>
      </c>
      <c r="B479" s="12">
        <v>127278</v>
      </c>
      <c r="C479" s="12" t="s">
        <v>509</v>
      </c>
      <c r="D479" s="12" t="s">
        <v>6</v>
      </c>
      <c r="E479" s="12">
        <v>29</v>
      </c>
      <c r="F479" s="12" t="s">
        <v>556</v>
      </c>
      <c r="G479" s="12" t="s">
        <v>38</v>
      </c>
      <c r="H479" s="12" t="s">
        <v>28</v>
      </c>
      <c r="I479" s="12">
        <v>27</v>
      </c>
      <c r="J479" s="12">
        <v>28</v>
      </c>
      <c r="K479" s="12">
        <v>28</v>
      </c>
      <c r="L479" s="12">
        <v>28</v>
      </c>
      <c r="M479" s="12">
        <v>28</v>
      </c>
      <c r="N479" s="12">
        <v>27</v>
      </c>
      <c r="O479" s="12">
        <v>27</v>
      </c>
      <c r="P479" s="12">
        <v>28</v>
      </c>
      <c r="Q479" s="12">
        <v>28</v>
      </c>
      <c r="R479" s="12">
        <v>27</v>
      </c>
      <c r="S479" s="12">
        <v>28</v>
      </c>
      <c r="T479" s="12">
        <v>27</v>
      </c>
      <c r="U479" s="5">
        <v>331</v>
      </c>
      <c r="V479" s="5" t="s">
        <v>16</v>
      </c>
      <c r="W479" s="13">
        <v>46235</v>
      </c>
      <c r="X479" s="12">
        <v>1986</v>
      </c>
      <c r="Y479" s="12">
        <v>5</v>
      </c>
      <c r="Z479" s="15" t="s">
        <v>535</v>
      </c>
      <c r="AT479" s="4"/>
      <c r="AU479" s="4"/>
      <c r="AV479" s="1"/>
    </row>
    <row r="480" spans="1:48" x14ac:dyDescent="0.3">
      <c r="A480" s="14">
        <v>479</v>
      </c>
      <c r="B480" s="12">
        <v>127279</v>
      </c>
      <c r="C480" s="12" t="s">
        <v>510</v>
      </c>
      <c r="D480" s="12" t="s">
        <v>6</v>
      </c>
      <c r="E480" s="12">
        <v>32</v>
      </c>
      <c r="F480" s="12" t="s">
        <v>556</v>
      </c>
      <c r="G480" s="12" t="s">
        <v>35</v>
      </c>
      <c r="H480" s="12" t="s">
        <v>28</v>
      </c>
      <c r="I480" s="12">
        <v>27</v>
      </c>
      <c r="J480" s="12">
        <v>28</v>
      </c>
      <c r="K480" s="12">
        <v>28</v>
      </c>
      <c r="L480" s="12">
        <v>28</v>
      </c>
      <c r="M480" s="12">
        <v>28</v>
      </c>
      <c r="N480" s="12">
        <v>27</v>
      </c>
      <c r="O480" s="12">
        <v>28</v>
      </c>
      <c r="P480" s="12">
        <v>27</v>
      </c>
      <c r="Q480" s="12">
        <v>27</v>
      </c>
      <c r="R480" s="12">
        <v>27</v>
      </c>
      <c r="S480" s="12">
        <v>28</v>
      </c>
      <c r="T480" s="12">
        <v>27</v>
      </c>
      <c r="U480" s="5">
        <v>330</v>
      </c>
      <c r="V480" s="5" t="s">
        <v>12</v>
      </c>
      <c r="W480" s="13">
        <v>46133</v>
      </c>
      <c r="X480" s="12">
        <v>1980</v>
      </c>
      <c r="Y480" s="12">
        <v>3</v>
      </c>
      <c r="Z480" s="15" t="s">
        <v>536</v>
      </c>
      <c r="AT480" s="4"/>
      <c r="AU480" s="4"/>
      <c r="AV480" s="1"/>
    </row>
    <row r="481" spans="1:48" x14ac:dyDescent="0.3">
      <c r="A481" s="14">
        <v>480</v>
      </c>
      <c r="B481" s="12">
        <v>127280</v>
      </c>
      <c r="C481" s="12" t="s">
        <v>511</v>
      </c>
      <c r="D481" s="12" t="s">
        <v>6</v>
      </c>
      <c r="E481" s="12">
        <v>40</v>
      </c>
      <c r="F481" s="12" t="s">
        <v>557</v>
      </c>
      <c r="G481" s="12" t="s">
        <v>25</v>
      </c>
      <c r="H481" s="12" t="s">
        <v>26</v>
      </c>
      <c r="I481" s="12">
        <v>28</v>
      </c>
      <c r="J481" s="12">
        <v>27</v>
      </c>
      <c r="K481" s="12">
        <v>28</v>
      </c>
      <c r="L481" s="12">
        <v>27</v>
      </c>
      <c r="M481" s="12">
        <v>27</v>
      </c>
      <c r="N481" s="12">
        <v>27</v>
      </c>
      <c r="O481" s="12">
        <v>28</v>
      </c>
      <c r="P481" s="12">
        <v>28</v>
      </c>
      <c r="Q481" s="12">
        <v>28</v>
      </c>
      <c r="R481" s="12">
        <v>28</v>
      </c>
      <c r="S481" s="12">
        <v>28</v>
      </c>
      <c r="T481" s="12">
        <v>28</v>
      </c>
      <c r="U481" s="5">
        <v>332</v>
      </c>
      <c r="V481" s="5" t="s">
        <v>11</v>
      </c>
      <c r="W481" s="13">
        <v>46087</v>
      </c>
      <c r="X481" s="12">
        <v>1992</v>
      </c>
      <c r="Y481" s="12">
        <v>3</v>
      </c>
      <c r="Z481" s="15" t="s">
        <v>536</v>
      </c>
      <c r="AT481" s="4"/>
      <c r="AU481" s="4"/>
      <c r="AV481" s="1"/>
    </row>
    <row r="482" spans="1:48" x14ac:dyDescent="0.3">
      <c r="A482" s="14">
        <v>481</v>
      </c>
      <c r="B482" s="12">
        <v>127281</v>
      </c>
      <c r="C482" s="12" t="s">
        <v>512</v>
      </c>
      <c r="D482" s="12" t="s">
        <v>7</v>
      </c>
      <c r="E482" s="12">
        <v>35</v>
      </c>
      <c r="F482" s="12" t="s">
        <v>556</v>
      </c>
      <c r="G482" s="12" t="s">
        <v>25</v>
      </c>
      <c r="H482" s="12" t="s">
        <v>26</v>
      </c>
      <c r="I482" s="12">
        <v>27</v>
      </c>
      <c r="J482" s="12">
        <v>27</v>
      </c>
      <c r="K482" s="12">
        <v>28</v>
      </c>
      <c r="L482" s="12">
        <v>27</v>
      </c>
      <c r="M482" s="12">
        <v>27</v>
      </c>
      <c r="N482" s="12">
        <v>28</v>
      </c>
      <c r="O482" s="12">
        <v>28</v>
      </c>
      <c r="P482" s="12">
        <v>27</v>
      </c>
      <c r="Q482" s="12">
        <v>27</v>
      </c>
      <c r="R482" s="12">
        <v>28</v>
      </c>
      <c r="S482" s="12">
        <v>27</v>
      </c>
      <c r="T482" s="12">
        <v>28</v>
      </c>
      <c r="U482" s="5">
        <v>329</v>
      </c>
      <c r="V482" s="5" t="s">
        <v>15</v>
      </c>
      <c r="W482" s="13">
        <v>46204</v>
      </c>
      <c r="X482" s="12">
        <v>1974</v>
      </c>
      <c r="Y482" s="12">
        <v>3</v>
      </c>
      <c r="Z482" s="15" t="s">
        <v>535</v>
      </c>
      <c r="AT482" s="4"/>
      <c r="AU482" s="4"/>
      <c r="AV482" s="1"/>
    </row>
    <row r="483" spans="1:48" x14ac:dyDescent="0.3">
      <c r="A483" s="14">
        <v>482</v>
      </c>
      <c r="B483" s="12">
        <v>127282</v>
      </c>
      <c r="C483" s="12" t="s">
        <v>513</v>
      </c>
      <c r="D483" s="12" t="s">
        <v>7</v>
      </c>
      <c r="E483" s="12">
        <v>50</v>
      </c>
      <c r="F483" s="12" t="s">
        <v>558</v>
      </c>
      <c r="G483" s="12" t="s">
        <v>25</v>
      </c>
      <c r="H483" s="12" t="s">
        <v>26</v>
      </c>
      <c r="I483" s="12">
        <v>27</v>
      </c>
      <c r="J483" s="12">
        <v>28</v>
      </c>
      <c r="K483" s="12">
        <v>28</v>
      </c>
      <c r="L483" s="12">
        <v>28</v>
      </c>
      <c r="M483" s="12">
        <v>27</v>
      </c>
      <c r="N483" s="12">
        <v>27</v>
      </c>
      <c r="O483" s="12">
        <v>27</v>
      </c>
      <c r="P483" s="12">
        <v>27</v>
      </c>
      <c r="Q483" s="12">
        <v>28</v>
      </c>
      <c r="R483" s="12">
        <v>27</v>
      </c>
      <c r="S483" s="12">
        <v>27</v>
      </c>
      <c r="T483" s="12">
        <v>28</v>
      </c>
      <c r="U483" s="5">
        <v>329</v>
      </c>
      <c r="V483" s="5" t="s">
        <v>12</v>
      </c>
      <c r="W483" s="13">
        <v>46132</v>
      </c>
      <c r="X483" s="12">
        <v>1974</v>
      </c>
      <c r="Y483" s="12">
        <v>3</v>
      </c>
      <c r="Z483" s="15" t="s">
        <v>535</v>
      </c>
      <c r="AT483" s="4"/>
      <c r="AU483" s="4"/>
      <c r="AV483" s="1"/>
    </row>
    <row r="484" spans="1:48" x14ac:dyDescent="0.3">
      <c r="A484" s="14">
        <v>483</v>
      </c>
      <c r="B484" s="12">
        <v>127283</v>
      </c>
      <c r="C484" s="12" t="s">
        <v>514</v>
      </c>
      <c r="D484" s="12" t="s">
        <v>6</v>
      </c>
      <c r="E484" s="12">
        <v>41</v>
      </c>
      <c r="F484" s="12" t="s">
        <v>557</v>
      </c>
      <c r="G484" s="12" t="s">
        <v>25</v>
      </c>
      <c r="H484" s="12" t="s">
        <v>26</v>
      </c>
      <c r="I484" s="12">
        <v>28</v>
      </c>
      <c r="J484" s="12">
        <v>27</v>
      </c>
      <c r="K484" s="12">
        <v>28</v>
      </c>
      <c r="L484" s="12">
        <v>28</v>
      </c>
      <c r="M484" s="12">
        <v>27</v>
      </c>
      <c r="N484" s="12">
        <v>27</v>
      </c>
      <c r="O484" s="12">
        <v>27</v>
      </c>
      <c r="P484" s="12">
        <v>27</v>
      </c>
      <c r="Q484" s="12">
        <v>28</v>
      </c>
      <c r="R484" s="12">
        <v>27</v>
      </c>
      <c r="S484" s="12">
        <v>28</v>
      </c>
      <c r="T484" s="12">
        <v>27</v>
      </c>
      <c r="U484" s="5">
        <v>329</v>
      </c>
      <c r="V484" s="5" t="s">
        <v>13</v>
      </c>
      <c r="W484" s="13">
        <v>46148</v>
      </c>
      <c r="X484" s="12">
        <v>1974</v>
      </c>
      <c r="Y484" s="12">
        <v>5</v>
      </c>
      <c r="Z484" s="15" t="s">
        <v>536</v>
      </c>
      <c r="AT484" s="4"/>
      <c r="AU484" s="4"/>
      <c r="AV484" s="1"/>
    </row>
    <row r="485" spans="1:48" x14ac:dyDescent="0.3">
      <c r="A485" s="14">
        <v>484</v>
      </c>
      <c r="B485" s="12">
        <v>127284</v>
      </c>
      <c r="C485" s="12" t="s">
        <v>515</v>
      </c>
      <c r="D485" s="12" t="s">
        <v>6</v>
      </c>
      <c r="E485" s="12">
        <v>40</v>
      </c>
      <c r="F485" s="12" t="s">
        <v>557</v>
      </c>
      <c r="G485" s="12" t="s">
        <v>45</v>
      </c>
      <c r="H485" s="12" t="s">
        <v>28</v>
      </c>
      <c r="I485" s="12">
        <v>28</v>
      </c>
      <c r="J485" s="12">
        <v>27</v>
      </c>
      <c r="K485" s="12">
        <v>27</v>
      </c>
      <c r="L485" s="12">
        <v>27</v>
      </c>
      <c r="M485" s="12">
        <v>28</v>
      </c>
      <c r="N485" s="12">
        <v>28</v>
      </c>
      <c r="O485" s="12">
        <v>28</v>
      </c>
      <c r="P485" s="12">
        <v>28</v>
      </c>
      <c r="Q485" s="12">
        <v>28</v>
      </c>
      <c r="R485" s="12">
        <v>27</v>
      </c>
      <c r="S485" s="12">
        <v>28</v>
      </c>
      <c r="T485" s="12">
        <v>27</v>
      </c>
      <c r="U485" s="5">
        <v>331</v>
      </c>
      <c r="V485" s="5" t="s">
        <v>13</v>
      </c>
      <c r="W485" s="13">
        <v>46167</v>
      </c>
      <c r="X485" s="12">
        <v>1986</v>
      </c>
      <c r="Y485" s="12">
        <v>3</v>
      </c>
      <c r="Z485" s="15" t="s">
        <v>536</v>
      </c>
      <c r="AT485" s="4"/>
      <c r="AU485" s="4"/>
      <c r="AV485" s="1"/>
    </row>
    <row r="486" spans="1:48" x14ac:dyDescent="0.3">
      <c r="A486" s="14">
        <v>485</v>
      </c>
      <c r="B486" s="12">
        <v>127285</v>
      </c>
      <c r="C486" s="12" t="s">
        <v>516</v>
      </c>
      <c r="D486" s="12" t="s">
        <v>6</v>
      </c>
      <c r="E486" s="12">
        <v>37</v>
      </c>
      <c r="F486" s="12" t="s">
        <v>557</v>
      </c>
      <c r="G486" s="12" t="s">
        <v>25</v>
      </c>
      <c r="H486" s="12" t="s">
        <v>26</v>
      </c>
      <c r="I486" s="12">
        <v>28</v>
      </c>
      <c r="J486" s="12">
        <v>28</v>
      </c>
      <c r="K486" s="12">
        <v>28</v>
      </c>
      <c r="L486" s="12">
        <v>28</v>
      </c>
      <c r="M486" s="12">
        <v>27</v>
      </c>
      <c r="N486" s="12">
        <v>28</v>
      </c>
      <c r="O486" s="12">
        <v>28</v>
      </c>
      <c r="P486" s="12">
        <v>27</v>
      </c>
      <c r="Q486" s="12">
        <v>28</v>
      </c>
      <c r="R486" s="12">
        <v>27</v>
      </c>
      <c r="S486" s="12">
        <v>28</v>
      </c>
      <c r="T486" s="12">
        <v>28</v>
      </c>
      <c r="U486" s="5">
        <v>333</v>
      </c>
      <c r="V486" s="5" t="s">
        <v>16</v>
      </c>
      <c r="W486" s="13">
        <v>46250</v>
      </c>
      <c r="X486" s="12">
        <v>1998</v>
      </c>
      <c r="Y486" s="12">
        <v>5</v>
      </c>
      <c r="Z486" s="15" t="s">
        <v>535</v>
      </c>
      <c r="AT486" s="4"/>
      <c r="AU486" s="4"/>
      <c r="AV486" s="1"/>
    </row>
    <row r="487" spans="1:48" x14ac:dyDescent="0.3">
      <c r="A487" s="14">
        <v>486</v>
      </c>
      <c r="B487" s="12">
        <v>127286</v>
      </c>
      <c r="C487" s="12" t="s">
        <v>517</v>
      </c>
      <c r="D487" s="12" t="s">
        <v>6</v>
      </c>
      <c r="E487" s="12">
        <v>50</v>
      </c>
      <c r="F487" s="12" t="s">
        <v>558</v>
      </c>
      <c r="G487" s="12" t="s">
        <v>38</v>
      </c>
      <c r="H487" s="12" t="s">
        <v>31</v>
      </c>
      <c r="I487" s="12">
        <v>28</v>
      </c>
      <c r="J487" s="12">
        <v>27</v>
      </c>
      <c r="K487" s="12">
        <v>27</v>
      </c>
      <c r="L487" s="12">
        <v>27</v>
      </c>
      <c r="M487" s="12">
        <v>27</v>
      </c>
      <c r="N487" s="12">
        <v>28</v>
      </c>
      <c r="O487" s="12">
        <v>28</v>
      </c>
      <c r="P487" s="12">
        <v>27</v>
      </c>
      <c r="Q487" s="12">
        <v>28</v>
      </c>
      <c r="R487" s="12">
        <v>28</v>
      </c>
      <c r="S487" s="12">
        <v>28</v>
      </c>
      <c r="T487" s="12">
        <v>27</v>
      </c>
      <c r="U487" s="5">
        <v>330</v>
      </c>
      <c r="V487" s="5" t="s">
        <v>15</v>
      </c>
      <c r="W487" s="13">
        <v>46226</v>
      </c>
      <c r="X487" s="12">
        <v>1980</v>
      </c>
      <c r="Y487" s="12">
        <v>4</v>
      </c>
      <c r="Z487" s="15" t="s">
        <v>535</v>
      </c>
      <c r="AT487" s="4"/>
      <c r="AU487" s="4"/>
      <c r="AV487" s="1"/>
    </row>
    <row r="488" spans="1:48" x14ac:dyDescent="0.3">
      <c r="A488" s="14">
        <v>487</v>
      </c>
      <c r="B488" s="12">
        <v>127287</v>
      </c>
      <c r="C488" s="12" t="s">
        <v>518</v>
      </c>
      <c r="D488" s="12" t="s">
        <v>6</v>
      </c>
      <c r="E488" s="12">
        <v>28</v>
      </c>
      <c r="F488" s="12" t="s">
        <v>556</v>
      </c>
      <c r="G488" s="12" t="s">
        <v>35</v>
      </c>
      <c r="H488" s="12" t="s">
        <v>26</v>
      </c>
      <c r="I488" s="12">
        <v>28</v>
      </c>
      <c r="J488" s="12">
        <v>27</v>
      </c>
      <c r="K488" s="12">
        <v>27</v>
      </c>
      <c r="L488" s="12">
        <v>27</v>
      </c>
      <c r="M488" s="12">
        <v>27</v>
      </c>
      <c r="N488" s="12">
        <v>27</v>
      </c>
      <c r="O488" s="12">
        <v>28</v>
      </c>
      <c r="P488" s="12">
        <v>27</v>
      </c>
      <c r="Q488" s="12">
        <v>28</v>
      </c>
      <c r="R488" s="12">
        <v>28</v>
      </c>
      <c r="S488" s="12">
        <v>27</v>
      </c>
      <c r="T488" s="12">
        <v>27</v>
      </c>
      <c r="U488" s="5">
        <v>328</v>
      </c>
      <c r="V488" s="5" t="s">
        <v>12</v>
      </c>
      <c r="W488" s="13">
        <v>46113</v>
      </c>
      <c r="X488" s="12">
        <v>1968</v>
      </c>
      <c r="Y488" s="12">
        <v>3</v>
      </c>
      <c r="Z488" s="15" t="s">
        <v>535</v>
      </c>
      <c r="AT488" s="4"/>
      <c r="AU488" s="4"/>
      <c r="AV488" s="1"/>
    </row>
    <row r="489" spans="1:48" x14ac:dyDescent="0.3">
      <c r="A489" s="14">
        <v>488</v>
      </c>
      <c r="B489" s="12">
        <v>127288</v>
      </c>
      <c r="C489" s="12" t="s">
        <v>519</v>
      </c>
      <c r="D489" s="12" t="s">
        <v>7</v>
      </c>
      <c r="E489" s="12">
        <v>29</v>
      </c>
      <c r="F489" s="12" t="s">
        <v>556</v>
      </c>
      <c r="G489" s="12" t="s">
        <v>35</v>
      </c>
      <c r="H489" s="12" t="s">
        <v>31</v>
      </c>
      <c r="I489" s="12">
        <v>28</v>
      </c>
      <c r="J489" s="12">
        <v>27</v>
      </c>
      <c r="K489" s="12">
        <v>28</v>
      </c>
      <c r="L489" s="12">
        <v>28</v>
      </c>
      <c r="M489" s="12">
        <v>28</v>
      </c>
      <c r="N489" s="12">
        <v>27</v>
      </c>
      <c r="O489" s="12">
        <v>27</v>
      </c>
      <c r="P489" s="12">
        <v>27</v>
      </c>
      <c r="Q489" s="12">
        <v>28</v>
      </c>
      <c r="R489" s="12">
        <v>28</v>
      </c>
      <c r="S489" s="12">
        <v>28</v>
      </c>
      <c r="T489" s="12">
        <v>28</v>
      </c>
      <c r="U489" s="5">
        <v>332</v>
      </c>
      <c r="V489" s="5" t="s">
        <v>15</v>
      </c>
      <c r="W489" s="13">
        <v>46231</v>
      </c>
      <c r="X489" s="12">
        <v>1992</v>
      </c>
      <c r="Y489" s="12">
        <v>5</v>
      </c>
      <c r="Z489" s="15" t="s">
        <v>535</v>
      </c>
      <c r="AT489" s="4"/>
      <c r="AU489" s="4"/>
      <c r="AV489" s="1"/>
    </row>
    <row r="490" spans="1:48" x14ac:dyDescent="0.3">
      <c r="A490" s="14">
        <v>489</v>
      </c>
      <c r="B490" s="12">
        <v>127289</v>
      </c>
      <c r="C490" s="12" t="s">
        <v>520</v>
      </c>
      <c r="D490" s="12" t="s">
        <v>6</v>
      </c>
      <c r="E490" s="12">
        <v>37</v>
      </c>
      <c r="F490" s="12" t="s">
        <v>557</v>
      </c>
      <c r="G490" s="12" t="s">
        <v>25</v>
      </c>
      <c r="H490" s="12" t="s">
        <v>31</v>
      </c>
      <c r="I490" s="12">
        <v>28</v>
      </c>
      <c r="J490" s="12">
        <v>27</v>
      </c>
      <c r="K490" s="12">
        <v>28</v>
      </c>
      <c r="L490" s="12">
        <v>28</v>
      </c>
      <c r="M490" s="12">
        <v>28</v>
      </c>
      <c r="N490" s="12">
        <v>27</v>
      </c>
      <c r="O490" s="12">
        <v>28</v>
      </c>
      <c r="P490" s="12">
        <v>28</v>
      </c>
      <c r="Q490" s="12">
        <v>27</v>
      </c>
      <c r="R490" s="12">
        <v>27</v>
      </c>
      <c r="S490" s="12">
        <v>28</v>
      </c>
      <c r="T490" s="12">
        <v>27</v>
      </c>
      <c r="U490" s="5">
        <v>331</v>
      </c>
      <c r="V490" s="5" t="s">
        <v>14</v>
      </c>
      <c r="W490" s="13">
        <v>46194</v>
      </c>
      <c r="X490" s="12">
        <v>1986</v>
      </c>
      <c r="Y490" s="12">
        <v>5</v>
      </c>
      <c r="Z490" s="15" t="s">
        <v>535</v>
      </c>
      <c r="AT490" s="4"/>
      <c r="AU490" s="4"/>
      <c r="AV490" s="1"/>
    </row>
    <row r="491" spans="1:48" x14ac:dyDescent="0.3">
      <c r="A491" s="14">
        <v>490</v>
      </c>
      <c r="B491" s="12">
        <v>127290</v>
      </c>
      <c r="C491" s="12" t="s">
        <v>521</v>
      </c>
      <c r="D491" s="12" t="s">
        <v>6</v>
      </c>
      <c r="E491" s="12">
        <v>20</v>
      </c>
      <c r="F491" s="12" t="s">
        <v>555</v>
      </c>
      <c r="G491" s="12" t="s">
        <v>30</v>
      </c>
      <c r="H491" s="12" t="s">
        <v>26</v>
      </c>
      <c r="I491" s="12">
        <v>27</v>
      </c>
      <c r="J491" s="12">
        <v>27</v>
      </c>
      <c r="K491" s="12">
        <v>28</v>
      </c>
      <c r="L491" s="12">
        <v>28</v>
      </c>
      <c r="M491" s="12">
        <v>27</v>
      </c>
      <c r="N491" s="12">
        <v>28</v>
      </c>
      <c r="O491" s="12">
        <v>27</v>
      </c>
      <c r="P491" s="12">
        <v>27</v>
      </c>
      <c r="Q491" s="12">
        <v>28</v>
      </c>
      <c r="R491" s="12">
        <v>27</v>
      </c>
      <c r="S491" s="12">
        <v>27</v>
      </c>
      <c r="T491" s="12">
        <v>27</v>
      </c>
      <c r="U491" s="5">
        <v>328</v>
      </c>
      <c r="V491" s="5" t="s">
        <v>16</v>
      </c>
      <c r="W491" s="13">
        <v>46247</v>
      </c>
      <c r="X491" s="12">
        <v>1968</v>
      </c>
      <c r="Y491" s="12">
        <v>4</v>
      </c>
      <c r="Z491" s="15" t="s">
        <v>535</v>
      </c>
      <c r="AT491" s="4"/>
      <c r="AU491" s="4"/>
      <c r="AV491" s="1"/>
    </row>
    <row r="492" spans="1:48" x14ac:dyDescent="0.3">
      <c r="A492" s="14">
        <v>491</v>
      </c>
      <c r="B492" s="12">
        <v>127291</v>
      </c>
      <c r="C492" s="12" t="s">
        <v>522</v>
      </c>
      <c r="D492" s="12" t="s">
        <v>6</v>
      </c>
      <c r="E492" s="12">
        <v>43</v>
      </c>
      <c r="F492" s="12" t="s">
        <v>557</v>
      </c>
      <c r="G492" s="12" t="s">
        <v>35</v>
      </c>
      <c r="H492" s="12" t="s">
        <v>31</v>
      </c>
      <c r="I492" s="12">
        <v>27</v>
      </c>
      <c r="J492" s="12">
        <v>28</v>
      </c>
      <c r="K492" s="12">
        <v>27</v>
      </c>
      <c r="L492" s="12">
        <v>27</v>
      </c>
      <c r="M492" s="12">
        <v>27</v>
      </c>
      <c r="N492" s="12">
        <v>27</v>
      </c>
      <c r="O492" s="12">
        <v>27</v>
      </c>
      <c r="P492" s="12">
        <v>28</v>
      </c>
      <c r="Q492" s="12">
        <v>28</v>
      </c>
      <c r="R492" s="12">
        <v>28</v>
      </c>
      <c r="S492" s="12">
        <v>28</v>
      </c>
      <c r="T492" s="12">
        <v>28</v>
      </c>
      <c r="U492" s="5">
        <v>330</v>
      </c>
      <c r="V492" s="5" t="s">
        <v>9</v>
      </c>
      <c r="W492" s="13">
        <v>46050</v>
      </c>
      <c r="X492" s="12">
        <v>1980</v>
      </c>
      <c r="Y492" s="12">
        <v>3</v>
      </c>
      <c r="Z492" s="15" t="s">
        <v>535</v>
      </c>
      <c r="AT492" s="4"/>
      <c r="AU492" s="4"/>
      <c r="AV492" s="1"/>
    </row>
    <row r="493" spans="1:48" x14ac:dyDescent="0.3">
      <c r="A493" s="14">
        <v>492</v>
      </c>
      <c r="B493" s="12">
        <v>127292</v>
      </c>
      <c r="C493" s="12" t="s">
        <v>523</v>
      </c>
      <c r="D493" s="12" t="s">
        <v>7</v>
      </c>
      <c r="E493" s="12">
        <v>38</v>
      </c>
      <c r="F493" s="12" t="s">
        <v>557</v>
      </c>
      <c r="G493" s="12" t="s">
        <v>35</v>
      </c>
      <c r="H493" s="12" t="s">
        <v>31</v>
      </c>
      <c r="I493" s="12">
        <v>27</v>
      </c>
      <c r="J493" s="12">
        <v>28</v>
      </c>
      <c r="K493" s="12">
        <v>28</v>
      </c>
      <c r="L493" s="12">
        <v>28</v>
      </c>
      <c r="M493" s="12">
        <v>27</v>
      </c>
      <c r="N493" s="12">
        <v>28</v>
      </c>
      <c r="O493" s="12">
        <v>28</v>
      </c>
      <c r="P493" s="12">
        <v>28</v>
      </c>
      <c r="Q493" s="12">
        <v>27</v>
      </c>
      <c r="R493" s="12">
        <v>27</v>
      </c>
      <c r="S493" s="12">
        <v>28</v>
      </c>
      <c r="T493" s="12">
        <v>28</v>
      </c>
      <c r="U493" s="5">
        <v>332</v>
      </c>
      <c r="V493" s="5" t="s">
        <v>17</v>
      </c>
      <c r="W493" s="13">
        <v>46291</v>
      </c>
      <c r="X493" s="12">
        <v>1992</v>
      </c>
      <c r="Y493" s="12">
        <v>4</v>
      </c>
      <c r="Z493" s="15" t="s">
        <v>535</v>
      </c>
      <c r="AT493" s="4"/>
      <c r="AU493" s="4"/>
      <c r="AV493" s="1"/>
    </row>
    <row r="494" spans="1:48" x14ac:dyDescent="0.3">
      <c r="A494" s="14">
        <v>493</v>
      </c>
      <c r="B494" s="12">
        <v>127293</v>
      </c>
      <c r="C494" s="12" t="s">
        <v>524</v>
      </c>
      <c r="D494" s="12" t="s">
        <v>6</v>
      </c>
      <c r="E494" s="12">
        <v>26</v>
      </c>
      <c r="F494" s="12" t="s">
        <v>556</v>
      </c>
      <c r="G494" s="12" t="s">
        <v>30</v>
      </c>
      <c r="H494" s="12" t="s">
        <v>31</v>
      </c>
      <c r="I494" s="12">
        <v>28</v>
      </c>
      <c r="J494" s="12">
        <v>27</v>
      </c>
      <c r="K494" s="12">
        <v>28</v>
      </c>
      <c r="L494" s="12">
        <v>27</v>
      </c>
      <c r="M494" s="12">
        <v>28</v>
      </c>
      <c r="N494" s="12">
        <v>27</v>
      </c>
      <c r="O494" s="12">
        <v>28</v>
      </c>
      <c r="P494" s="12">
        <v>27</v>
      </c>
      <c r="Q494" s="12">
        <v>28</v>
      </c>
      <c r="R494" s="12">
        <v>27</v>
      </c>
      <c r="S494" s="12">
        <v>28</v>
      </c>
      <c r="T494" s="12">
        <v>28</v>
      </c>
      <c r="U494" s="5">
        <v>331</v>
      </c>
      <c r="V494" s="5" t="s">
        <v>9</v>
      </c>
      <c r="W494" s="13">
        <v>46028</v>
      </c>
      <c r="X494" s="12">
        <v>1986</v>
      </c>
      <c r="Y494" s="12">
        <v>5</v>
      </c>
      <c r="Z494" s="15" t="s">
        <v>536</v>
      </c>
      <c r="AT494" s="4"/>
      <c r="AU494" s="4"/>
      <c r="AV494" s="1"/>
    </row>
    <row r="495" spans="1:48" x14ac:dyDescent="0.3">
      <c r="A495" s="14">
        <v>494</v>
      </c>
      <c r="B495" s="12">
        <v>127294</v>
      </c>
      <c r="C495" s="12" t="s">
        <v>525</v>
      </c>
      <c r="D495" s="12" t="s">
        <v>7</v>
      </c>
      <c r="E495" s="12">
        <v>27</v>
      </c>
      <c r="F495" s="12" t="s">
        <v>556</v>
      </c>
      <c r="G495" s="12" t="s">
        <v>45</v>
      </c>
      <c r="H495" s="12" t="s">
        <v>31</v>
      </c>
      <c r="I495" s="12">
        <v>27</v>
      </c>
      <c r="J495" s="12">
        <v>27</v>
      </c>
      <c r="K495" s="12">
        <v>27</v>
      </c>
      <c r="L495" s="12">
        <v>27</v>
      </c>
      <c r="M495" s="12">
        <v>28</v>
      </c>
      <c r="N495" s="12">
        <v>28</v>
      </c>
      <c r="O495" s="12">
        <v>27</v>
      </c>
      <c r="P495" s="12">
        <v>28</v>
      </c>
      <c r="Q495" s="12">
        <v>28</v>
      </c>
      <c r="R495" s="12">
        <v>27</v>
      </c>
      <c r="S495" s="12">
        <v>28</v>
      </c>
      <c r="T495" s="12">
        <v>28</v>
      </c>
      <c r="U495" s="5">
        <v>330</v>
      </c>
      <c r="V495" s="5" t="s">
        <v>17</v>
      </c>
      <c r="W495" s="13">
        <v>46277</v>
      </c>
      <c r="X495" s="12">
        <v>1980</v>
      </c>
      <c r="Y495" s="12">
        <v>3</v>
      </c>
      <c r="Z495" s="15" t="s">
        <v>535</v>
      </c>
      <c r="AT495" s="4"/>
      <c r="AU495" s="4"/>
      <c r="AV495" s="1"/>
    </row>
    <row r="496" spans="1:48" x14ac:dyDescent="0.3">
      <c r="A496" s="14">
        <v>495</v>
      </c>
      <c r="B496" s="12">
        <v>127295</v>
      </c>
      <c r="C496" s="12" t="s">
        <v>526</v>
      </c>
      <c r="D496" s="12" t="s">
        <v>7</v>
      </c>
      <c r="E496" s="12">
        <v>35</v>
      </c>
      <c r="F496" s="12" t="s">
        <v>556</v>
      </c>
      <c r="G496" s="12" t="s">
        <v>30</v>
      </c>
      <c r="H496" s="12" t="s">
        <v>31</v>
      </c>
      <c r="I496" s="12">
        <v>28</v>
      </c>
      <c r="J496" s="12">
        <v>27</v>
      </c>
      <c r="K496" s="12">
        <v>27</v>
      </c>
      <c r="L496" s="12">
        <v>27</v>
      </c>
      <c r="M496" s="12">
        <v>28</v>
      </c>
      <c r="N496" s="12">
        <v>28</v>
      </c>
      <c r="O496" s="12">
        <v>27</v>
      </c>
      <c r="P496" s="12">
        <v>28</v>
      </c>
      <c r="Q496" s="12">
        <v>28</v>
      </c>
      <c r="R496" s="12">
        <v>28</v>
      </c>
      <c r="S496" s="12">
        <v>28</v>
      </c>
      <c r="T496" s="12">
        <v>27</v>
      </c>
      <c r="U496" s="5">
        <v>331</v>
      </c>
      <c r="V496" s="5" t="s">
        <v>15</v>
      </c>
      <c r="W496" s="13">
        <v>46229</v>
      </c>
      <c r="X496" s="12">
        <v>1986</v>
      </c>
      <c r="Y496" s="12">
        <v>5</v>
      </c>
      <c r="Z496" s="15" t="s">
        <v>536</v>
      </c>
      <c r="AT496" s="4"/>
      <c r="AU496" s="4"/>
      <c r="AV496" s="1"/>
    </row>
    <row r="497" spans="1:48" x14ac:dyDescent="0.3">
      <c r="A497" s="14">
        <v>496</v>
      </c>
      <c r="B497" s="12">
        <v>127296</v>
      </c>
      <c r="C497" s="12" t="s">
        <v>527</v>
      </c>
      <c r="D497" s="12" t="s">
        <v>6</v>
      </c>
      <c r="E497" s="12">
        <v>41</v>
      </c>
      <c r="F497" s="12" t="s">
        <v>557</v>
      </c>
      <c r="G497" s="12" t="s">
        <v>38</v>
      </c>
      <c r="H497" s="12" t="s">
        <v>26</v>
      </c>
      <c r="I497" s="12">
        <v>28</v>
      </c>
      <c r="J497" s="12">
        <v>28</v>
      </c>
      <c r="K497" s="12">
        <v>28</v>
      </c>
      <c r="L497" s="12">
        <v>28</v>
      </c>
      <c r="M497" s="12">
        <v>28</v>
      </c>
      <c r="N497" s="12">
        <v>28</v>
      </c>
      <c r="O497" s="12">
        <v>28</v>
      </c>
      <c r="P497" s="12">
        <v>28</v>
      </c>
      <c r="Q497" s="12">
        <v>27</v>
      </c>
      <c r="R497" s="12">
        <v>27</v>
      </c>
      <c r="S497" s="12">
        <v>27</v>
      </c>
      <c r="T497" s="12">
        <v>28</v>
      </c>
      <c r="U497" s="5">
        <v>333</v>
      </c>
      <c r="V497" s="5" t="s">
        <v>17</v>
      </c>
      <c r="W497" s="13">
        <v>46295</v>
      </c>
      <c r="X497" s="12">
        <v>1998</v>
      </c>
      <c r="Y497" s="12">
        <v>3</v>
      </c>
      <c r="Z497" s="15" t="s">
        <v>535</v>
      </c>
      <c r="AT497" s="4"/>
      <c r="AU497" s="4"/>
      <c r="AV497" s="1"/>
    </row>
    <row r="498" spans="1:48" x14ac:dyDescent="0.3">
      <c r="A498" s="14">
        <v>497</v>
      </c>
      <c r="B498" s="12">
        <v>127297</v>
      </c>
      <c r="C498" s="12" t="s">
        <v>528</v>
      </c>
      <c r="D498" s="12" t="s">
        <v>6</v>
      </c>
      <c r="E498" s="12">
        <v>50</v>
      </c>
      <c r="F498" s="12" t="s">
        <v>558</v>
      </c>
      <c r="G498" s="12" t="s">
        <v>45</v>
      </c>
      <c r="H498" s="12" t="s">
        <v>31</v>
      </c>
      <c r="I498" s="12">
        <v>28</v>
      </c>
      <c r="J498" s="12">
        <v>28</v>
      </c>
      <c r="K498" s="12">
        <v>27</v>
      </c>
      <c r="L498" s="12">
        <v>28</v>
      </c>
      <c r="M498" s="12">
        <v>28</v>
      </c>
      <c r="N498" s="12">
        <v>27</v>
      </c>
      <c r="O498" s="12">
        <v>27</v>
      </c>
      <c r="P498" s="12">
        <v>28</v>
      </c>
      <c r="Q498" s="12">
        <v>27</v>
      </c>
      <c r="R498" s="12">
        <v>27</v>
      </c>
      <c r="S498" s="12">
        <v>28</v>
      </c>
      <c r="T498" s="12">
        <v>28</v>
      </c>
      <c r="U498" s="5">
        <v>331</v>
      </c>
      <c r="V498" s="5" t="s">
        <v>9</v>
      </c>
      <c r="W498" s="13">
        <v>46045</v>
      </c>
      <c r="X498" s="12">
        <v>1986</v>
      </c>
      <c r="Y498" s="12">
        <v>4</v>
      </c>
      <c r="Z498" s="15" t="s">
        <v>535</v>
      </c>
      <c r="AT498" s="4"/>
      <c r="AU498" s="4"/>
      <c r="AV498" s="1"/>
    </row>
    <row r="499" spans="1:48" x14ac:dyDescent="0.3">
      <c r="A499" s="14">
        <v>498</v>
      </c>
      <c r="B499" s="12">
        <v>127298</v>
      </c>
      <c r="C499" s="12" t="s">
        <v>529</v>
      </c>
      <c r="D499" s="12" t="s">
        <v>6</v>
      </c>
      <c r="E499" s="12">
        <v>39</v>
      </c>
      <c r="F499" s="12" t="s">
        <v>557</v>
      </c>
      <c r="G499" s="12" t="s">
        <v>25</v>
      </c>
      <c r="H499" s="12" t="s">
        <v>28</v>
      </c>
      <c r="I499" s="12">
        <v>27</v>
      </c>
      <c r="J499" s="12">
        <v>27</v>
      </c>
      <c r="K499" s="12">
        <v>28</v>
      </c>
      <c r="L499" s="12">
        <v>27</v>
      </c>
      <c r="M499" s="12">
        <v>27</v>
      </c>
      <c r="N499" s="12">
        <v>27</v>
      </c>
      <c r="O499" s="12">
        <v>28</v>
      </c>
      <c r="P499" s="12">
        <v>27</v>
      </c>
      <c r="Q499" s="12">
        <v>27</v>
      </c>
      <c r="R499" s="12">
        <v>28</v>
      </c>
      <c r="S499" s="12">
        <v>27</v>
      </c>
      <c r="T499" s="12">
        <v>27</v>
      </c>
      <c r="U499" s="5">
        <v>327</v>
      </c>
      <c r="V499" s="5" t="s">
        <v>14</v>
      </c>
      <c r="W499" s="13">
        <v>46180</v>
      </c>
      <c r="X499" s="12">
        <v>1962</v>
      </c>
      <c r="Y499" s="12">
        <v>5</v>
      </c>
      <c r="Z499" s="15" t="s">
        <v>535</v>
      </c>
      <c r="AT499" s="4"/>
      <c r="AU499" s="4"/>
      <c r="AV499" s="1"/>
    </row>
    <row r="500" spans="1:48" x14ac:dyDescent="0.3">
      <c r="A500" s="14">
        <v>499</v>
      </c>
      <c r="B500" s="12">
        <v>127299</v>
      </c>
      <c r="C500" s="12" t="s">
        <v>530</v>
      </c>
      <c r="D500" s="12" t="s">
        <v>6</v>
      </c>
      <c r="E500" s="12">
        <v>40</v>
      </c>
      <c r="F500" s="12" t="s">
        <v>557</v>
      </c>
      <c r="G500" s="12" t="s">
        <v>45</v>
      </c>
      <c r="H500" s="12" t="s">
        <v>26</v>
      </c>
      <c r="I500" s="12">
        <v>28</v>
      </c>
      <c r="J500" s="12">
        <v>27</v>
      </c>
      <c r="K500" s="12">
        <v>28</v>
      </c>
      <c r="L500" s="12">
        <v>27</v>
      </c>
      <c r="M500" s="12">
        <v>28</v>
      </c>
      <c r="N500" s="12">
        <v>28</v>
      </c>
      <c r="O500" s="12">
        <v>27</v>
      </c>
      <c r="P500" s="12">
        <v>27</v>
      </c>
      <c r="Q500" s="12">
        <v>27</v>
      </c>
      <c r="R500" s="12">
        <v>28</v>
      </c>
      <c r="S500" s="12">
        <v>28</v>
      </c>
      <c r="T500" s="12">
        <v>28</v>
      </c>
      <c r="U500" s="5">
        <v>331</v>
      </c>
      <c r="V500" s="5" t="s">
        <v>14</v>
      </c>
      <c r="W500" s="13">
        <v>46188</v>
      </c>
      <c r="X500" s="12">
        <v>1986</v>
      </c>
      <c r="Y500" s="12">
        <v>5</v>
      </c>
      <c r="Z500" s="15" t="s">
        <v>535</v>
      </c>
      <c r="AT500" s="4"/>
      <c r="AU500" s="4"/>
      <c r="AV500" s="1"/>
    </row>
    <row r="501" spans="1:48" x14ac:dyDescent="0.3">
      <c r="A501" s="21">
        <v>500</v>
      </c>
      <c r="B501" s="22">
        <v>127300</v>
      </c>
      <c r="C501" s="22" t="s">
        <v>531</v>
      </c>
      <c r="D501" s="22" t="s">
        <v>6</v>
      </c>
      <c r="E501" s="22">
        <v>37</v>
      </c>
      <c r="F501" s="22" t="s">
        <v>557</v>
      </c>
      <c r="G501" s="22" t="s">
        <v>30</v>
      </c>
      <c r="H501" s="22" t="s">
        <v>28</v>
      </c>
      <c r="I501" s="22">
        <v>27</v>
      </c>
      <c r="J501" s="22">
        <v>28</v>
      </c>
      <c r="K501" s="22">
        <v>28</v>
      </c>
      <c r="L501" s="22">
        <v>28</v>
      </c>
      <c r="M501" s="22">
        <v>28</v>
      </c>
      <c r="N501" s="22">
        <v>27</v>
      </c>
      <c r="O501" s="22">
        <v>28</v>
      </c>
      <c r="P501" s="22">
        <v>27</v>
      </c>
      <c r="Q501" s="22">
        <v>27</v>
      </c>
      <c r="R501" s="22">
        <v>28</v>
      </c>
      <c r="S501" s="22">
        <v>28</v>
      </c>
      <c r="T501" s="22">
        <v>27</v>
      </c>
      <c r="U501" s="23">
        <v>331</v>
      </c>
      <c r="V501" s="23" t="s">
        <v>9</v>
      </c>
      <c r="W501" s="24">
        <v>46034</v>
      </c>
      <c r="X501" s="22">
        <v>1986</v>
      </c>
      <c r="Y501" s="22">
        <v>5</v>
      </c>
      <c r="Z501" s="25" t="s">
        <v>535</v>
      </c>
      <c r="AT501" s="4"/>
      <c r="AU501" s="4"/>
      <c r="AV501" s="1"/>
    </row>
    <row r="502" spans="1:48" x14ac:dyDescent="0.3">
      <c r="AT502" s="4"/>
      <c r="AU502" s="4"/>
      <c r="AV502" s="1"/>
    </row>
    <row r="503" spans="1:48" x14ac:dyDescent="0.3">
      <c r="AT503" s="4"/>
      <c r="AU503" s="4"/>
      <c r="AV503" s="1"/>
    </row>
    <row r="504" spans="1:48" x14ac:dyDescent="0.3">
      <c r="AT504" s="4"/>
      <c r="AU504" s="4"/>
      <c r="AV504" s="1"/>
    </row>
    <row r="505" spans="1:48" x14ac:dyDescent="0.3">
      <c r="AT505" s="4"/>
      <c r="AU505" s="4"/>
      <c r="AV505" s="1"/>
    </row>
    <row r="506" spans="1:48" x14ac:dyDescent="0.3">
      <c r="AT506" s="4"/>
      <c r="AU506" s="4"/>
      <c r="AV506" s="1"/>
    </row>
    <row r="507" spans="1:48" x14ac:dyDescent="0.3">
      <c r="AT507" s="4"/>
      <c r="AU507" s="4"/>
      <c r="AV507" s="1"/>
    </row>
    <row r="508" spans="1:48" x14ac:dyDescent="0.3">
      <c r="AT508" s="4"/>
      <c r="AU508" s="4"/>
      <c r="AV508" s="1"/>
    </row>
    <row r="509" spans="1:48" x14ac:dyDescent="0.3">
      <c r="AT509" s="4"/>
      <c r="AU509" s="4"/>
      <c r="AV509" s="1"/>
    </row>
    <row r="510" spans="1:48" x14ac:dyDescent="0.3">
      <c r="AT510" s="4"/>
      <c r="AU510" s="4"/>
      <c r="AV510" s="1"/>
    </row>
    <row r="511" spans="1:48" x14ac:dyDescent="0.3">
      <c r="AT511" s="4"/>
      <c r="AU511" s="4"/>
      <c r="AV511" s="1"/>
    </row>
  </sheetData>
  <sheetProtection formatCells="0" formatColumns="0" formatRows="0" insertColumns="0" insertRows="0" insertHyperlinks="0" deleteColumns="0" deleteRows="0" sort="0" autoFilter="0" pivotTables="0"/>
  <mergeCells count="1">
    <mergeCell ref="AB5:AZ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7690-3D87-40CA-BC9D-D7A04AFCAAE2}">
  <dimension ref="A1:H22"/>
  <sheetViews>
    <sheetView zoomScale="80" zoomScaleNormal="80" workbookViewId="0">
      <selection activeCell="I28" sqref="I28"/>
    </sheetView>
  </sheetViews>
  <sheetFormatPr defaultRowHeight="14.4" x14ac:dyDescent="0.3"/>
  <cols>
    <col min="1" max="1" width="13.33203125" bestFit="1" customWidth="1"/>
    <col min="2" max="2" width="18.77734375" bestFit="1" customWidth="1"/>
    <col min="3" max="3" width="17.77734375" bestFit="1" customWidth="1"/>
    <col min="4" max="4" width="17.33203125" bestFit="1" customWidth="1"/>
    <col min="5" max="5" width="13.33203125" bestFit="1" customWidth="1"/>
    <col min="6" max="6" width="18.77734375" bestFit="1" customWidth="1"/>
    <col min="7" max="7" width="17.77734375" bestFit="1" customWidth="1"/>
    <col min="8" max="8" width="22.33203125" bestFit="1" customWidth="1"/>
    <col min="10" max="10" width="13.33203125" bestFit="1" customWidth="1"/>
    <col min="11" max="11" width="18.77734375" bestFit="1" customWidth="1"/>
    <col min="12" max="12" width="17.77734375" bestFit="1" customWidth="1"/>
    <col min="13" max="13" width="17.44140625" bestFit="1" customWidth="1"/>
    <col min="14" max="14" width="12.5546875" bestFit="1" customWidth="1"/>
    <col min="15" max="15" width="18.5546875" bestFit="1" customWidth="1"/>
    <col min="16" max="16" width="17.44140625" bestFit="1" customWidth="1"/>
  </cols>
  <sheetData>
    <row r="1" spans="1:8" x14ac:dyDescent="0.3">
      <c r="A1" s="27" t="s">
        <v>551</v>
      </c>
      <c r="B1" s="28"/>
      <c r="C1" s="28"/>
      <c r="D1" s="28"/>
      <c r="F1" s="27" t="s">
        <v>552</v>
      </c>
      <c r="G1" s="28"/>
      <c r="H1" s="28"/>
    </row>
    <row r="2" spans="1:8" x14ac:dyDescent="0.3">
      <c r="A2" s="28"/>
      <c r="B2" s="28"/>
      <c r="C2" s="28"/>
      <c r="D2" s="28"/>
      <c r="F2" s="28"/>
      <c r="G2" s="28"/>
      <c r="H2" s="28"/>
    </row>
    <row r="3" spans="1:8" x14ac:dyDescent="0.3">
      <c r="A3" s="9" t="s">
        <v>546</v>
      </c>
      <c r="B3" t="s">
        <v>537</v>
      </c>
      <c r="C3" t="s">
        <v>540</v>
      </c>
      <c r="D3" t="s">
        <v>550</v>
      </c>
      <c r="F3" s="9" t="s">
        <v>546</v>
      </c>
      <c r="G3" t="s">
        <v>537</v>
      </c>
      <c r="H3" t="s">
        <v>540</v>
      </c>
    </row>
    <row r="4" spans="1:8" x14ac:dyDescent="0.3">
      <c r="A4" s="10" t="s">
        <v>26</v>
      </c>
      <c r="B4">
        <v>358374</v>
      </c>
      <c r="C4">
        <v>59729</v>
      </c>
      <c r="D4">
        <v>22994507</v>
      </c>
      <c r="F4" s="10" t="s">
        <v>9</v>
      </c>
      <c r="G4">
        <v>95034</v>
      </c>
      <c r="H4">
        <v>15839</v>
      </c>
    </row>
    <row r="5" spans="1:8" x14ac:dyDescent="0.3">
      <c r="A5" s="10" t="s">
        <v>28</v>
      </c>
      <c r="B5">
        <v>312756</v>
      </c>
      <c r="C5">
        <v>52126</v>
      </c>
      <c r="D5">
        <v>20074971</v>
      </c>
      <c r="F5" s="10" t="s">
        <v>10</v>
      </c>
      <c r="G5">
        <v>83244</v>
      </c>
      <c r="H5">
        <v>13874</v>
      </c>
    </row>
    <row r="6" spans="1:8" x14ac:dyDescent="0.3">
      <c r="A6" s="10" t="s">
        <v>31</v>
      </c>
      <c r="B6">
        <v>318858</v>
      </c>
      <c r="C6">
        <v>53143</v>
      </c>
      <c r="D6">
        <v>20455772</v>
      </c>
      <c r="F6" s="10" t="s">
        <v>11</v>
      </c>
      <c r="G6">
        <v>104940</v>
      </c>
      <c r="H6">
        <v>17490</v>
      </c>
    </row>
    <row r="7" spans="1:8" x14ac:dyDescent="0.3">
      <c r="A7" s="10" t="s">
        <v>547</v>
      </c>
      <c r="B7">
        <v>989988</v>
      </c>
      <c r="C7">
        <v>164998</v>
      </c>
      <c r="D7">
        <v>63525250</v>
      </c>
      <c r="F7" s="10" t="s">
        <v>12</v>
      </c>
      <c r="G7">
        <v>132600</v>
      </c>
      <c r="H7">
        <v>22100</v>
      </c>
    </row>
    <row r="8" spans="1:8" x14ac:dyDescent="0.3">
      <c r="B8" s="11">
        <f>GETPIVOTDATA("Sum of Bill Amount",$A$3)</f>
        <v>989988</v>
      </c>
      <c r="F8" s="10" t="s">
        <v>13</v>
      </c>
      <c r="G8">
        <v>98982</v>
      </c>
      <c r="H8">
        <v>16497</v>
      </c>
    </row>
    <row r="9" spans="1:8" x14ac:dyDescent="0.3">
      <c r="F9" s="10" t="s">
        <v>14</v>
      </c>
      <c r="G9">
        <v>114828</v>
      </c>
      <c r="H9">
        <v>19138</v>
      </c>
    </row>
    <row r="10" spans="1:8" x14ac:dyDescent="0.3">
      <c r="F10" s="10" t="s">
        <v>15</v>
      </c>
      <c r="G10">
        <v>120864</v>
      </c>
      <c r="H10">
        <v>20144</v>
      </c>
    </row>
    <row r="11" spans="1:8" x14ac:dyDescent="0.3">
      <c r="A11" s="27" t="s">
        <v>554</v>
      </c>
      <c r="B11" s="28"/>
      <c r="C11" s="28"/>
      <c r="F11" s="10" t="s">
        <v>16</v>
      </c>
      <c r="G11">
        <v>114816</v>
      </c>
      <c r="H11">
        <v>19136</v>
      </c>
    </row>
    <row r="12" spans="1:8" x14ac:dyDescent="0.3">
      <c r="A12" s="28"/>
      <c r="B12" s="28"/>
      <c r="C12" s="28"/>
      <c r="F12" s="10" t="s">
        <v>17</v>
      </c>
      <c r="G12">
        <v>124680</v>
      </c>
      <c r="H12">
        <v>20780</v>
      </c>
    </row>
    <row r="13" spans="1:8" x14ac:dyDescent="0.3">
      <c r="A13" s="9" t="s">
        <v>546</v>
      </c>
      <c r="B13" t="s">
        <v>553</v>
      </c>
      <c r="C13" t="s">
        <v>537</v>
      </c>
      <c r="F13" s="10" t="s">
        <v>547</v>
      </c>
      <c r="G13">
        <v>989988</v>
      </c>
      <c r="H13">
        <v>164998</v>
      </c>
    </row>
    <row r="14" spans="1:8" x14ac:dyDescent="0.3">
      <c r="A14" s="10" t="s">
        <v>536</v>
      </c>
      <c r="B14">
        <v>241</v>
      </c>
      <c r="C14">
        <v>477306</v>
      </c>
      <c r="E14" s="29" t="s">
        <v>549</v>
      </c>
      <c r="F14" s="28"/>
      <c r="G14" s="28"/>
    </row>
    <row r="15" spans="1:8" x14ac:dyDescent="0.3">
      <c r="A15" s="10" t="s">
        <v>535</v>
      </c>
      <c r="B15">
        <v>259</v>
      </c>
      <c r="C15">
        <v>512682</v>
      </c>
      <c r="E15" s="28"/>
      <c r="F15" s="28"/>
      <c r="G15" s="28"/>
    </row>
    <row r="16" spans="1:8" x14ac:dyDescent="0.3">
      <c r="A16" s="10" t="s">
        <v>547</v>
      </c>
      <c r="B16">
        <v>500</v>
      </c>
      <c r="C16">
        <v>989988</v>
      </c>
      <c r="E16" s="9" t="s">
        <v>546</v>
      </c>
      <c r="F16" t="s">
        <v>553</v>
      </c>
      <c r="G16" t="s">
        <v>537</v>
      </c>
    </row>
    <row r="17" spans="1:7" x14ac:dyDescent="0.3">
      <c r="A17" s="27" t="s">
        <v>3</v>
      </c>
      <c r="B17" s="28"/>
      <c r="C17" s="28"/>
      <c r="E17" s="10" t="s">
        <v>555</v>
      </c>
      <c r="F17">
        <v>159</v>
      </c>
      <c r="G17">
        <v>314826</v>
      </c>
    </row>
    <row r="18" spans="1:7" x14ac:dyDescent="0.3">
      <c r="A18" s="28"/>
      <c r="B18" s="28"/>
      <c r="C18" s="28"/>
      <c r="E18" s="10" t="s">
        <v>556</v>
      </c>
      <c r="F18">
        <v>159</v>
      </c>
      <c r="G18">
        <v>314862</v>
      </c>
    </row>
    <row r="19" spans="1:7" x14ac:dyDescent="0.3">
      <c r="A19" s="9" t="s">
        <v>546</v>
      </c>
      <c r="B19" t="s">
        <v>553</v>
      </c>
      <c r="C19" t="s">
        <v>537</v>
      </c>
      <c r="E19" s="10" t="s">
        <v>557</v>
      </c>
      <c r="F19">
        <v>125</v>
      </c>
      <c r="G19">
        <v>247506</v>
      </c>
    </row>
    <row r="20" spans="1:7" x14ac:dyDescent="0.3">
      <c r="A20" s="10" t="s">
        <v>7</v>
      </c>
      <c r="B20">
        <v>135</v>
      </c>
      <c r="C20">
        <v>267480</v>
      </c>
      <c r="E20" s="10" t="s">
        <v>558</v>
      </c>
      <c r="F20">
        <v>57</v>
      </c>
      <c r="G20">
        <v>112794</v>
      </c>
    </row>
    <row r="21" spans="1:7" x14ac:dyDescent="0.3">
      <c r="A21" s="10" t="s">
        <v>6</v>
      </c>
      <c r="B21">
        <v>365</v>
      </c>
      <c r="C21">
        <v>722508</v>
      </c>
      <c r="E21" s="10" t="s">
        <v>547</v>
      </c>
      <c r="F21">
        <v>500</v>
      </c>
      <c r="G21">
        <v>989988</v>
      </c>
    </row>
    <row r="22" spans="1:7" x14ac:dyDescent="0.3">
      <c r="A22" s="10" t="s">
        <v>547</v>
      </c>
      <c r="B22">
        <v>500</v>
      </c>
      <c r="C22">
        <v>989988</v>
      </c>
    </row>
  </sheetData>
  <sheetProtection formatCells="0" formatColumns="0" formatRows="0" insertColumns="0" insertRows="0" insertHyperlinks="0" deleteColumns="0" deleteRows="0" sort="0" autoFilter="0" pivotTables="0"/>
  <mergeCells count="5">
    <mergeCell ref="A1:D2"/>
    <mergeCell ref="F1:H2"/>
    <mergeCell ref="A17:C18"/>
    <mergeCell ref="A11:C12"/>
    <mergeCell ref="E14:G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28D1-F7AA-4EBD-A063-63BF7A475B08}">
  <dimension ref="A2:H57"/>
  <sheetViews>
    <sheetView workbookViewId="0">
      <selection activeCell="G9" sqref="G9"/>
    </sheetView>
  </sheetViews>
  <sheetFormatPr defaultRowHeight="14.4" x14ac:dyDescent="0.3"/>
  <cols>
    <col min="1" max="1" width="17.44140625" bestFit="1" customWidth="1"/>
    <col min="2" max="2" width="16" bestFit="1" customWidth="1"/>
    <col min="3" max="3" width="12.77734375" bestFit="1" customWidth="1"/>
    <col min="4" max="4" width="12.5546875" bestFit="1" customWidth="1"/>
    <col min="5" max="5" width="14.5546875" bestFit="1" customWidth="1"/>
    <col min="6" max="6" width="17.44140625" bestFit="1" customWidth="1"/>
    <col min="7" max="7" width="12.5546875" bestFit="1" customWidth="1"/>
    <col min="8" max="8" width="14.5546875" bestFit="1" customWidth="1"/>
    <col min="9" max="9" width="12" bestFit="1" customWidth="1"/>
    <col min="11" max="11" width="10.77734375" bestFit="1" customWidth="1"/>
  </cols>
  <sheetData>
    <row r="2" spans="1:5" x14ac:dyDescent="0.3">
      <c r="A2" s="30" t="s">
        <v>541</v>
      </c>
      <c r="B2" s="30"/>
      <c r="C2" s="30"/>
      <c r="D2" s="30"/>
      <c r="E2" s="31" t="e" vm="1">
        <v>#VALUE!</v>
      </c>
    </row>
    <row r="3" spans="1:5" x14ac:dyDescent="0.3">
      <c r="A3" t="s">
        <v>537</v>
      </c>
      <c r="B3" t="s">
        <v>539</v>
      </c>
      <c r="C3" t="s">
        <v>538</v>
      </c>
      <c r="D3" t="s">
        <v>540</v>
      </c>
    </row>
    <row r="4" spans="1:5" x14ac:dyDescent="0.3">
      <c r="A4">
        <v>989988</v>
      </c>
      <c r="B4">
        <v>4.0220000000000002</v>
      </c>
      <c r="C4">
        <v>2011</v>
      </c>
      <c r="D4">
        <v>164998</v>
      </c>
    </row>
    <row r="6" spans="1:5" x14ac:dyDescent="0.3">
      <c r="A6" s="5" t="s">
        <v>542</v>
      </c>
      <c r="B6" s="5" t="s">
        <v>543</v>
      </c>
      <c r="C6" s="5" t="s">
        <v>544</v>
      </c>
      <c r="D6" s="5" t="s">
        <v>545</v>
      </c>
    </row>
    <row r="7" spans="1:5" ht="15.6" x14ac:dyDescent="0.3">
      <c r="A7" s="8">
        <f>GETPIVOTDATA("Sum of Bill Amount",$A$3)</f>
        <v>989988</v>
      </c>
      <c r="B7" s="6">
        <f>GETPIVOTDATA("Average of Rating",$A$3)</f>
        <v>4.0220000000000002</v>
      </c>
      <c r="C7" s="7">
        <f>GETPIVOTDATA("Sum of Rating",$A$3)</f>
        <v>2011</v>
      </c>
      <c r="D7" s="7">
        <f>GETPIVOTDATA("Sum of Total Newspaper",$A$3)</f>
        <v>164998</v>
      </c>
    </row>
    <row r="9" spans="1:5" x14ac:dyDescent="0.3">
      <c r="A9" s="9" t="s">
        <v>546</v>
      </c>
      <c r="B9" t="s">
        <v>537</v>
      </c>
      <c r="C9" t="s">
        <v>540</v>
      </c>
      <c r="D9" s="9" t="s">
        <v>546</v>
      </c>
      <c r="E9" t="s">
        <v>548</v>
      </c>
    </row>
    <row r="10" spans="1:5" x14ac:dyDescent="0.3">
      <c r="A10" s="10" t="s">
        <v>536</v>
      </c>
      <c r="B10">
        <v>477306</v>
      </c>
      <c r="C10">
        <v>79551</v>
      </c>
      <c r="D10" s="10" t="s">
        <v>7</v>
      </c>
      <c r="E10">
        <v>135</v>
      </c>
    </row>
    <row r="11" spans="1:5" x14ac:dyDescent="0.3">
      <c r="A11" s="10" t="s">
        <v>535</v>
      </c>
      <c r="B11">
        <v>512682</v>
      </c>
      <c r="C11">
        <v>85447</v>
      </c>
      <c r="D11" s="10" t="s">
        <v>6</v>
      </c>
      <c r="E11">
        <v>365</v>
      </c>
    </row>
    <row r="12" spans="1:5" x14ac:dyDescent="0.3">
      <c r="A12" s="10" t="s">
        <v>547</v>
      </c>
      <c r="B12">
        <v>989988</v>
      </c>
      <c r="C12">
        <v>164998</v>
      </c>
      <c r="D12" s="10" t="s">
        <v>547</v>
      </c>
      <c r="E12">
        <v>500</v>
      </c>
    </row>
    <row r="54" spans="7:8" x14ac:dyDescent="0.3">
      <c r="G54" s="9" t="s">
        <v>546</v>
      </c>
      <c r="H54" t="s">
        <v>548</v>
      </c>
    </row>
    <row r="55" spans="7:8" x14ac:dyDescent="0.3">
      <c r="G55" s="10" t="s">
        <v>7</v>
      </c>
      <c r="H55">
        <v>135</v>
      </c>
    </row>
    <row r="56" spans="7:8" x14ac:dyDescent="0.3">
      <c r="G56" s="10" t="s">
        <v>6</v>
      </c>
      <c r="H56">
        <v>365</v>
      </c>
    </row>
    <row r="57" spans="7:8" x14ac:dyDescent="0.3">
      <c r="G57" s="10" t="s">
        <v>547</v>
      </c>
      <c r="H57">
        <v>500</v>
      </c>
    </row>
  </sheetData>
  <mergeCells count="1">
    <mergeCell ref="A2:D2"/>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Dashboard</vt:lpstr>
      <vt:lpstr>Newspaper Data</vt:lpstr>
      <vt:lpstr>pivot </vt:lpstr>
      <vt:lpstr>pivot space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KRN YDV</dc:creator>
  <cp:lastModifiedBy>KRN YDV</cp:lastModifiedBy>
  <dcterms:created xsi:type="dcterms:W3CDTF">2026-09-30T04:08:34Z</dcterms:created>
  <dcterms:modified xsi:type="dcterms:W3CDTF">2026-10-02T15:38:49Z</dcterms:modified>
</cp:coreProperties>
</file>